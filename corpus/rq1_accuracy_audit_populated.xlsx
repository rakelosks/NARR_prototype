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rakelosksigurdardottir/Documents/IE University/Capstone/NARR/NARR_prototype/corpus/"/>
    </mc:Choice>
  </mc:AlternateContent>
  <xr:revisionPtr revIDLastSave="0" documentId="8_{114F85AA-2229-9C4F-9F88-375F58C30FDC}" xr6:coauthVersionLast="47" xr6:coauthVersionMax="47" xr10:uidLastSave="{00000000-0000-0000-0000-000000000000}"/>
  <bookViews>
    <workbookView xWindow="0" yWindow="660" windowWidth="28080" windowHeight="18460" firstSheet="1" activeTab="2" xr2:uid="{00000000-000D-0000-FFFF-FFFF00000000}"/>
  </bookViews>
  <sheets>
    <sheet name="Instructions" sheetId="1" r:id="rId1"/>
    <sheet name="Claim Audit" sheetId="2" r:id="rId2"/>
    <sheet name="Narrative Summary" sheetId="3" r:id="rId3"/>
    <sheet name="Pipeline Success" sheetId="4" r:id="rId4"/>
    <sheet name="Summary Stats" sheetId="5" r:id="rId5"/>
  </sheets>
  <definedNames>
    <definedName name="_xlnm._FilterDatabase" localSheetId="1" hidden="1">'Claim Audit'!$A$1:$I$338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B8" i="5"/>
  <c r="B6" i="5"/>
  <c r="B5" i="5"/>
  <c r="B19" i="5" a="1"/>
  <c r="B19" i="5" s="1"/>
  <c r="B24" i="5" s="1"/>
  <c r="B29" i="5"/>
  <c r="B28" i="5"/>
  <c r="B23" i="5"/>
  <c r="B22" i="5"/>
  <c r="B21" i="5"/>
  <c r="B20" i="5"/>
  <c r="B16" i="5"/>
  <c r="B15" i="5"/>
  <c r="B14" i="5"/>
  <c r="B11" i="5"/>
  <c r="B4" i="5"/>
  <c r="B10" i="5" s="1"/>
  <c r="B3" i="5"/>
  <c r="M2" i="3"/>
  <c r="J3" i="3"/>
  <c r="L3" i="3" s="1"/>
  <c r="J4" i="3"/>
  <c r="L4" i="3" s="1"/>
  <c r="J5" i="3"/>
  <c r="L5" i="3" s="1"/>
  <c r="J6" i="3"/>
  <c r="L6" i="3" s="1"/>
  <c r="J7" i="3"/>
  <c r="L7" i="3" s="1"/>
  <c r="J8" i="3"/>
  <c r="J9" i="3"/>
  <c r="J10" i="3"/>
  <c r="L10" i="3" s="1"/>
  <c r="J11" i="3"/>
  <c r="L11" i="3" s="1"/>
  <c r="J12" i="3"/>
  <c r="L12" i="3" s="1"/>
  <c r="J13" i="3"/>
  <c r="L13" i="3" s="1"/>
  <c r="J14" i="3"/>
  <c r="L14" i="3" s="1"/>
  <c r="J15" i="3"/>
  <c r="L15" i="3" s="1"/>
  <c r="J16" i="3"/>
  <c r="L16" i="3" s="1"/>
  <c r="J17" i="3"/>
  <c r="L17" i="3" s="1"/>
  <c r="J18" i="3"/>
  <c r="L18" i="3" s="1"/>
  <c r="J19" i="3"/>
  <c r="L19" i="3" s="1"/>
  <c r="J20" i="3"/>
  <c r="J21" i="3"/>
  <c r="J2" i="3"/>
  <c r="I3" i="3"/>
  <c r="I4" i="3"/>
  <c r="I5" i="3"/>
  <c r="I6" i="3"/>
  <c r="I7" i="3"/>
  <c r="I8" i="3"/>
  <c r="I9" i="3"/>
  <c r="I10" i="3"/>
  <c r="I11" i="3"/>
  <c r="I12" i="3"/>
  <c r="I13" i="3"/>
  <c r="I14" i="3"/>
  <c r="I15" i="3"/>
  <c r="I16" i="3"/>
  <c r="I17" i="3"/>
  <c r="I18" i="3"/>
  <c r="I19" i="3"/>
  <c r="I20" i="3"/>
  <c r="I21" i="3"/>
  <c r="I2" i="3"/>
  <c r="H3" i="3"/>
  <c r="H4" i="3"/>
  <c r="H5" i="3"/>
  <c r="H6" i="3"/>
  <c r="H7" i="3"/>
  <c r="H8" i="3"/>
  <c r="H9" i="3"/>
  <c r="H10" i="3"/>
  <c r="H11" i="3"/>
  <c r="H12" i="3"/>
  <c r="H13" i="3"/>
  <c r="H14" i="3"/>
  <c r="H15" i="3"/>
  <c r="H16" i="3"/>
  <c r="H17" i="3"/>
  <c r="H18" i="3"/>
  <c r="H19" i="3"/>
  <c r="H20" i="3"/>
  <c r="H21" i="3"/>
  <c r="H2" i="3"/>
  <c r="G3" i="3"/>
  <c r="G4" i="3"/>
  <c r="G5" i="3"/>
  <c r="G6" i="3"/>
  <c r="G7" i="3"/>
  <c r="G8" i="3"/>
  <c r="G9" i="3"/>
  <c r="G10" i="3"/>
  <c r="G11" i="3"/>
  <c r="G12" i="3"/>
  <c r="G13" i="3"/>
  <c r="G14" i="3"/>
  <c r="G15" i="3"/>
  <c r="G16" i="3"/>
  <c r="G17" i="3"/>
  <c r="G18" i="3"/>
  <c r="G19" i="3"/>
  <c r="G20" i="3"/>
  <c r="G21" i="3"/>
  <c r="G2" i="3"/>
  <c r="K5" i="3" l="1"/>
  <c r="B9" i="5"/>
  <c r="K3" i="3"/>
  <c r="K4" i="3"/>
  <c r="L2" i="3"/>
  <c r="K9" i="3"/>
  <c r="K8" i="3"/>
  <c r="K17" i="3"/>
  <c r="K13" i="3"/>
  <c r="K7" i="3"/>
  <c r="K6" i="3"/>
  <c r="K11" i="3"/>
  <c r="K10" i="3"/>
  <c r="K19" i="3"/>
  <c r="K2" i="3"/>
  <c r="K15" i="3"/>
  <c r="K16" i="3"/>
  <c r="K14" i="3"/>
  <c r="K21" i="3"/>
  <c r="K18" i="3"/>
  <c r="K20" i="3"/>
  <c r="K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<sst xmlns="http://schemas.openxmlformats.org/spreadsheetml/2006/main" count="2913" uniqueCount="611">
  <si>
    <t>RQ1 Accuracy Audit — Scoring Sheet Instructions</t>
  </si>
  <si>
    <t>This workbook has four data sheets:</t>
  </si>
  <si>
    <t>1. Claim Audit — The main sheet. For each narrative, list every factual claim and score it.</t>
  </si>
  <si>
    <t xml:space="preserve">   - Claim Types: Numerical (a specific number), Directional (trend up/down/stable),</t>
  </si>
  <si>
    <t xml:space="preserve">     Entity (named category/column/period), Fabrication (claim with no basis in bundle), Hedging (language check)</t>
  </si>
  <si>
    <t xml:space="preserve">   - Verdicts: Accurate (matches bundle exactly), Inaccurate (contradicts bundle),</t>
  </si>
  <si>
    <t xml:space="preserve">     Fabricated (not in bundle at all), Partially Accurate (right direction but wrong number)</t>
  </si>
  <si>
    <t xml:space="preserve">   - Evidence Bundle Reference: paste or describe the specific metric from the bundle that you checked against</t>
  </si>
  <si>
    <t>2. Narrative Summary — One row per generated narrative. Tallies from the Claim Audit sheet.</t>
  </si>
  <si>
    <t xml:space="preserve">   - Fill in the total/accurate/inaccurate counts after completing the claim audit</t>
  </si>
  <si>
    <t xml:space="preserve">   - Accuracy Rate auto-calculates from the counts</t>
  </si>
  <si>
    <t>3. Pipeline Success — One row per query. Tracks whether each pipeline stage succeeded.</t>
  </si>
  <si>
    <t xml:space="preserve">   - This evaluates the deterministic parts of the system (not the LLM)</t>
  </si>
  <si>
    <t xml:space="preserve">   - If the pipeline fails at any stage, note the failure point</t>
  </si>
  <si>
    <t>4. Summary Stats — Fill this in last. Aggregate numbers for your Chapter 6 write-up.</t>
  </si>
  <si>
    <t>HOW TO USE:</t>
  </si>
  <si>
    <t>1. Run your collection script to generate the test corpus (JSON files)</t>
  </si>
  <si>
    <t>2. For each JSON file, open it alongside this sheet</t>
  </si>
  <si>
    <t>3. Read the narrative text, identify each factual claim</t>
  </si>
  <si>
    <t>4. Look up each claim in the evidence bundle metrics</t>
  </si>
  <si>
    <t>5. Score the claim in the Claim Audit sheet</t>
  </si>
  <si>
    <t>6. After all claims are scored, fill in the Narrative Summary row</t>
  </si>
  <si>
    <t>7. Fill in the Pipeline Success row</t>
  </si>
  <si>
    <t>8. After all narratives are audited, fill in Summary Stats</t>
  </si>
  <si>
    <t>Run ID</t>
  </si>
  <si>
    <t>Query</t>
  </si>
  <si>
    <t>Template Type</t>
  </si>
  <si>
    <t>Claim #</t>
  </si>
  <si>
    <t>Claim Text</t>
  </si>
  <si>
    <t>Claim Type</t>
  </si>
  <si>
    <t>Evidence Bundle Reference</t>
  </si>
  <si>
    <t>Verdict</t>
  </si>
  <si>
    <t>Notes</t>
  </si>
  <si>
    <t>run_01a</t>
  </si>
  <si>
    <t>What are the trends in waste collection?</t>
  </si>
  <si>
    <t>time_series</t>
  </si>
  <si>
    <t>Residents Throw Away a Third Less Waste Than 15 Years Ago</t>
  </si>
  <si>
    <t>Numerical</t>
  </si>
  <si>
    <t>total_periods: 15</t>
  </si>
  <si>
    <t>Accurate</t>
  </si>
  <si>
    <t>Auto: string/token overlap vs evidence_bundle metrics only — confirm accuracy.</t>
  </si>
  <si>
    <t>Most households set out their bins every week, but the numbers reveal something surprising: we’re now tossing out much less than before.</t>
  </si>
  <si>
    <t>NO MATCH FOUND - check manually</t>
  </si>
  <si>
    <t>In Reykjavík, the amount of household waste per person has dropped by about a third since 1998—falling from 266 kilos a year to just 173 kilos by 2012.</t>
  </si>
  <si>
    <t>Hedging</t>
  </si>
  <si>
    <t>date_range: min=1998 max=2012 | trend[Kíló á íbúa]: direction=decreasing, first=266.0, last=173.0, pct_change=-34.96, peak=273.0 @ 2000, trough=173.0 | summary_stats[Kíló á íbúa]: mean=232.13, min=173.0, max=273.0, total=3482.0</t>
  </si>
  <si>
    <t>35% less — waste per person since 1998</t>
  </si>
  <si>
    <t>date_range: min=1998 max=2012</t>
  </si>
  <si>
    <t>Each person in Reykjavík is now throwing away about a third less than they did 15 years ago.</t>
  </si>
  <si>
    <t>In the chart below, you'll see how waste collected per person crept up to a high of 273 kilos around the year 2000.</t>
  </si>
  <si>
    <t>trend[Kíló á íbúa]: direction=decreasing, first=266.0, last=173.0, pct_change=-34.96, peak=273.0 @ 2000, trough=173.0 | summary_stats[Kíló á íbúa]: mean=232.13, min=173.0, max=273.0, total=3482.0</t>
  </si>
  <si>
    <t>After that, there’s a steady and sharp decline right through to 2012.</t>
  </si>
  <si>
    <t>By the end of this period, the average resident is producing 37% less waste than at the peak.</t>
  </si>
  <si>
    <t>trend[Fjöldi sorpíláta]: direction=decreasing, first=47200.0, last=37311.0, pct_change=-20.95, peak=47900.0 @ 2004, trough=37288.0 | summary_stats[Fjöldi sorpíláta]: mean=42565.13, min=37288.0, max=47900.0, total=638477.0</t>
  </si>
  <si>
    <t>This is the most dramatic shift in the numbers.</t>
  </si>
  <si>
    <t>The number of bins went up until 2004, reaching a high point, but then fell by about a fifth over the next eight years.</t>
  </si>
  <si>
    <t>trend[Fjöldi sorpíláta]: direction=decreasing, first=47200.0, last=37311.0, pct_change=-20.95, peak=47900.0 @ 2004, trough=37288.0</t>
  </si>
  <si>
    <t>By 2012, crews were collecting from nearly 11,000 fewer bins than at the peak.</t>
  </si>
  <si>
    <t>This fall matches the drop in waste per person and shows a real change in how much is being thrown away.</t>
  </si>
  <si>
    <t>trend[Fjöldi sorpíláta]: direction=decreasing, first=47200.0, last=37311.0, pct_change=-20.95, peak=47900.0 @ 2004, trough=37288.0 | trend[Kíló á íbúa]: direction=decreasing, first=266.0, last=173.0, pct_change=-34.96, peak=273.0 @ 2000, trough=173.0</t>
  </si>
  <si>
    <t>Filling your bin less means less waste picked up, fewer trips for city trucks, and likely lower costs for everyone.</t>
  </si>
  <si>
    <t>Seeing our habits shift so much in just over a decade hints at big changes in what—and how much—we use and throw away.</t>
  </si>
  <si>
    <t>For households, it means we’re all playing a part in making Reykjavík a bit cleaner and less wasteful.</t>
  </si>
  <si>
    <t>This story covers waste collection in Reykjavík households from 1998 to 2012.</t>
  </si>
  <si>
    <t>All numbers are citywide averages—your home's habits may differ.</t>
  </si>
  <si>
    <t>The figures come from the city's Environment and Planning division, but licence details are not specified, and costs after 2012 aren't included.</t>
  </si>
  <si>
    <t>Finally, big changes in 2004 and 2005 may be due to policy shifts, so keep in mind that the trends shown reflect both resident behavior and city practices.</t>
  </si>
  <si>
    <t>run_01b</t>
  </si>
  <si>
    <t>Residents Throw Away a Third Less Than 15 Years Ago</t>
  </si>
  <si>
    <t>Living in Reykjavík means keeping an eye on the waste bins.</t>
  </si>
  <si>
    <t>But fewer bins and less rubbish are filling up the streets these days.</t>
  </si>
  <si>
    <t>Over the past 15 years, the amount of household waste per person has dropped by about 35%, falling from 266 kg in 1998 to just 173 kg in 2012.</t>
  </si>
  <si>
    <t>date_range: min=1998 max=2012 | total_periods: 15 | trend[Kíló á íbúa]: direction=decreasing, first=266.0, last=173.0, pct_change=-34.96, peak=273.0 @ 2000, trough=173.0 | summary_stats[Kíló á íbúa]: mean=232.13, min=173.0, max=273.0, total=3482.0</t>
  </si>
  <si>
    <t>35% — less waste per person</t>
  </si>
  <si>
    <t>Since 1998, the amount each resident throws away has dropped by about a third.</t>
  </si>
  <si>
    <t>In the chart below, you’ll notice the number of waste bins across the city steadily rises to a peak in 2004 and then falls sharply.</t>
  </si>
  <si>
    <t>There were about 47,200 bins in 1998, peaking around 47,900 in 2004.</t>
  </si>
  <si>
    <t>date_range: min=1998 max=2012 | trend[Fjöldi sorpíláta]: direction=decreasing, first=47200.0, last=37311.0, pct_change=-20.95, peak=47900.0 @ 2004, trough=37288.0 | summary_stats[Fjöldi sorpíláta]: mean=42565.13, min=37288.0, max=47900.0, total=638477.0</t>
  </si>
  <si>
    <t>But after that, the number dropped by about a fifth, landing at just over 37,300 bins in 2012.</t>
  </si>
  <si>
    <t>This shows that not only are people throwing away less, but fewer bins are needed for the job.</t>
  </si>
  <si>
    <t>The next chart shows how much rubbish each person in Reykjavík put out each year.</t>
  </si>
  <si>
    <t>It hit its highest point in 2000 at 273 kg per person, but then dropped sharply.</t>
  </si>
  <si>
    <t>By 2012, that number was down to 173 kg—about a third less than before.</t>
  </si>
  <si>
    <t>This steady decline after 2000 stands out, showing a clear shift toward throwing away less.</t>
  </si>
  <si>
    <t>trend[Kíló á íbúa]: direction=decreasing, first=266.0, last=173.0, pct_change=-34.96, peak=273.0 @ 2000, trough=173.0</t>
  </si>
  <si>
    <t>For residents, these changes translate to less waste being carried out each week.</t>
  </si>
  <si>
    <t>Fewer bins and lighter loads are a sign that habits are shifting—whether from recycling, reuse, or simply wasting less.</t>
  </si>
  <si>
    <t>All these small efforts together have made a real difference citywide.</t>
  </si>
  <si>
    <t>These numbers cover 1998 to 2012, so changes since then aren’t included.</t>
  </si>
  <si>
    <t>The figures reflect the whole city, not specific neighborhoods.</t>
  </si>
  <si>
    <t>There are some changes in how bins were counted, and some waste collection costs may not be fully reflected for the last year.</t>
  </si>
  <si>
    <t>Reykjavik's environmental and planning department collected this information, but the open data doesn’t list a licence.</t>
  </si>
  <si>
    <t>run_02a</t>
  </si>
  <si>
    <t>Compare the number of children on the kindergarten waiting list by district and age group</t>
  </si>
  <si>
    <t>environmental</t>
  </si>
  <si>
    <t>Number of Young Children in Single-Parent Families Has Dropped Since 2002</t>
  </si>
  <si>
    <t>date_range: min=2002 max=2014 | trend[Fjöldi barna 0-2 ára]: direction=decreasing, first=4212.0, last=3555.0, pct_change=-15.6, peak=4212.0 @ 2002, trough=3555.0 | trend[Fjöldi barna 7-12 ára]: direction=decreasing, first=8493.0, last=7434.0, pct_change=-12.47, peak=8493.0 @ 2002, trough=7365.0</t>
  </si>
  <si>
    <t>Single-parent families are a vital part of life for many in Reykjavík, shaping everything from schools to playgrounds.</t>
  </si>
  <si>
    <t>Entity</t>
  </si>
  <si>
    <t>trend[Fjöldi barna 3-5 ára].groups[20.1. Óstaðsettir í Reykjavík]: direction=decreasing, first=3.0, last=1.0, pct_change=-66.67 | trend[Fjöldi barna 3-5 ára].groups[Reykjavík, alls]: direction=decreasing, first=1483.0, last=1417.0, pct_change=-4.45 | latest_period_comparison[Fjöldi barna 3-5 ára] 20.1. Óstaðsettir í Reykjavík=1.0 | latest_period_comparison[Fjöldi barna 3-5 ára] Reykjavík, alls=1417.0 | trend[Fjöldi foreldra].groups[20.1. Óstaðsettir í Reykjavík]: direction=decreasing, first=11.0, last=4.0, pct_change=-63.64 | trend[Fjöldi foreldra].groups[Reykjavík, alls]: direction=decreasing, first=5521.0, last=5405.0, pct_change=-2.1 | latest_period_comparison[Fjöldi foreldra] 20.1. Óstaðsettir í Reykjavík=4.0 | latest_period_comparison[Fjöldi foreldra] Reykjavík, alls=5405.0 | trend[Fjöldi barna, alls].groups[20.1. Óstaðsettir í Reykjavík]: direction=decreasing, first=17.0, last=5.0, pct_change=-70.59 | trend[Fjöldi barna, alls].groups[Reykjavík, alls]: direction=decreasing, first=8161.0, last=7846.0, pct_change=-3.86</t>
  </si>
  <si>
    <t>Over the past decade, there have been fewer young children living with single parents—especially among the youngest age groups.</t>
  </si>
  <si>
    <t>Directional</t>
  </si>
  <si>
    <t>trend[Fjöldi barna 3-5 ára].groups[1.1. Gamli vesturbærinn]: direction=decreasing, first=70.0, last=66.0, pct_change=-5.71 | trend[Fjöldi barna 3-5 ára].groups[1.2. Vesturbær syðri]: direction=decreasing, first=138.0, last=105.0, pct_change=-23.91 | trend[Fjöldi barna 3-5 ára].groups[11.1. Grunarhverfi]: direction=decreasing, first=12.0, last=9.0, pct_change=-25.0 | trend[Fjöldi barna 3-5 ára].groups[11.2 Kjalarnes]: direction=increasing, first=3.0, last=5.0, pct_change=66.67 | trend[Fjöldi barna 3-5 ára].groups[2.1. Austurbær]: direction=increasing, first=98.0, last=101.0, pct_change=3.06 | trend[Fjöldi barna 3-5 ára].groups[2.2. Norðumýri]: direction=decreasing, first=75.0, last=70.0, pct_change=-6.67 | trend[Fjöldi barna 3-5 ára].groups[2.3. Hlíðar]: direction=decreasing, first=60.0, last=56.0, pct_change=-6.67 | trend[Fjöldi barna 3-5 ára].groups[20.1. Óstaðsettir í Reykjavík]: direction=decreasing, first=3.0, last=1.0, pct_change=-66.67 | trend[Fjöldi barna 3-5 ára].groups[3.1. Laugarnes]: direction=decreasing, first=43.0, last=38.0, pct_change=-11.63 | trend[Fjöldi barna 3-5 ára].groups[3.2.Laugarás]: direction=decreasing, first=68.0, last=65.0, pct_change=-4.41</t>
  </si>
  <si>
    <t>For instance, the number of 0–2 year olds in these families dropped by about 16% since 2002.</t>
  </si>
  <si>
    <t>date_range: min=2002 max=2014 | trend[Fjöldi barna 3-5 ára]: direction=decreasing, first=4449.0, last=4251.0, pct_change=-4.45, peak=4689.0 @ 2004, trough=3540.0 | trend[Fjöldi barna 3-5 ára].groups[1.1. Gamli vesturbærinn]: direction=decreasing, first=70.0, last=66.0, pct_change=-5.71 | trend[Fjöldi barna 3-5 ára].groups[1.2. Vesturbær syðri]: direction=decreasing, first=138.0, last=105.0, pct_change=-23.91 | trend[Fjöldi barna 3-5 ára].groups[11.1. Grunarhverfi]: direction=decreasing, first=12.0, last=9.0, pct_change=-25.0 | trend[Fjöldi barna 3-5 ára].groups[11.2 Kjalarnes]: direction=increasing, first=3.0, last=5.0, pct_change=66.67 | trend[Fjöldi barna 3-5 ára].groups[2.1. Austurbær]: direction=increasing, first=98.0, last=101.0, pct_change=3.06 | trend[Fjöldi barna 3-5 ára].groups[2.2. Norðumýri]: direction=decreasing, first=75.0, last=70.0, pct_change=-6.67 | trend[Fjöldi barna 3-5 ára].groups[2.3. Hlíðar]: direction=decreasing, first=60.0, last=56.0, pct_change=-6.67 | trend[Fjöldi barna 3-5 ára].groups[20.1. Óstaðsettir í Reykjavík]: direction=decreasing, first=3.0, last=1.0, pct_change=-66.67 | trend[Fjöldi barna 3-5 ára].groups[3.1. Laugarnes]: direction=decreasing, first=43.0, last=38.0, pct_change=-11.63 | trend[Fjöldi barna 3-5 ára].groups[3.2.Laugarás]: direction=decreasing, first=68.0, last=65.0, pct_change=-4.41 | …</t>
  </si>
  <si>
    <t>16% — fewer 0–2 year olds in 2014 vs. 2002</t>
  </si>
  <si>
    <t>This is the steepest drop among all age groups of children in single-parent families.</t>
  </si>
  <si>
    <t>In the chart below, you’ll see how the number of very young children (ages 0–2) in single-parent families started high in 2002 but then fell sharply.</t>
  </si>
  <si>
    <t>The numbers peaked early and then declined steadily for more than a decade—about one in six fewer infants and toddlers by 2014.</t>
  </si>
  <si>
    <t>date_range: min=2002 max=2014</t>
  </si>
  <si>
    <t>This points to smaller numbers of the youngest children in these families over time.</t>
  </si>
  <si>
    <t>It compares different parts of Reykjavík and shows big gaps between areas.</t>
  </si>
  <si>
    <t>Some districts have many more children in single-parent families than others.</t>
  </si>
  <si>
    <t>For example, Reykjavík overall has much higher numbers than neighborhoods with very few children in this group.</t>
  </si>
  <si>
    <t>This suggests where resources might be needed most.</t>
  </si>
  <si>
    <t>You’ll notice that while most places saw drops among the youngest children, there are spots and years where numbers held steady or even went up for older kids.</t>
  </si>
  <si>
    <t>These differences can matter for planning services like after-school programs and community support.</t>
  </si>
  <si>
    <t>For many residents, these shifts in family makeup can influence everything from preschool spots to housing and support services.</t>
  </si>
  <si>
    <t>Fewer very young children in single-parent homes may mean some neighborhoods feel less crowded in nurseries, while others might see smaller changes.</t>
  </si>
  <si>
    <t>These are the trends shaping daily life for parents and children now and in the years ahead.</t>
  </si>
  <si>
    <t>This story is based on data from 2002 to 2014, showing the number of children of different ages in single-parent families by district in Reykjavík.</t>
  </si>
  <si>
    <t>The numbers are for January each year and come from the national statistics office.</t>
  </si>
  <si>
    <t>It does not include children on kindergarten waiting lists or currently in preschools, and only covers up to 2014, so patterns may have changed since then.</t>
  </si>
  <si>
    <t>The licence information for the data was not available at the source.</t>
  </si>
  <si>
    <t>run_02b</t>
  </si>
  <si>
    <t>categorical</t>
  </si>
  <si>
    <t>Youngest Children Face the Longest Waits for Kindergarten Spots</t>
  </si>
  <si>
    <t>For many families, getting a spot in kindergarten is a big worry—especially for the youngest kids.</t>
  </si>
  <si>
    <t>The numbers show that children aged 12 to 17 months face the longest waiting lists in Reykjavík, with as many as 25 in line in some neighborhoods.</t>
  </si>
  <si>
    <t>summary_stats[fjoldi_barna]: mean=5.83, min=1.0, max=25.0, total=204.0 | rankings[fjoldi_barna]: 12 - 17 mánaða = 25 | rankings[fjoldi_barna]: 12 - 17 mánaða = 22 | rankings[fjoldi_barna]: 12 - 17 mánaða = 15 | rankings[fjoldi_barna]: 12 - 17 mánaða = 14 | rankings[fjoldi_barna]: 12 - 17 mánaða = 12 | rankings[fjoldi_barna]: 12 - 17 mánaða = 9 | rankings[fjoldi_barna]: 12 - 17 mánaða = 8</t>
  </si>
  <si>
    <t>Meanwhile, older toddlers often wait far less, making age a key factor in how long families must wait.</t>
  </si>
  <si>
    <t>25 — children waiting (age 12–17 months)</t>
  </si>
  <si>
    <t>In some districts, as many as 25 of the youngest children are waiting for a kindergarten spot.</t>
  </si>
  <si>
    <t>summary_stats[fjoldi_barna]: mean=5.83, min=1.0, max=25.0, total=204.0 | rankings[fjoldi_barna]: 12 - 17 mánaða = 25</t>
  </si>
  <si>
    <t>In the chart below, you can see the number of children on kindergarten waiting lists across different age groups.</t>
  </si>
  <si>
    <t>It's immediately clear that the youngest group—those just 12 to 17 months old—face the biggest wait, while older age groups see much smaller numbers.</t>
  </si>
  <si>
    <t>rankings[fjoldi_barna]: 12 - 17 mánaða = 25 | rankings[fjoldi_barna]: 12 - 17 mánaða = 22 | rankings[fjoldi_barna]: 12 - 17 mánaða = 15 | rankings[fjoldi_barna]: 12 - 17 mánaða = 14 | rankings[fjoldi_barna]: 12 - 17 mánaða = 12 | rankings[fjoldi_barna]: 12 - 17 mánaða = 9 | rankings[fjoldi_barna]: 12 - 17 mánaða = 8</t>
  </si>
  <si>
    <t>The gap between the youngest and next oldest is large, showing how much tougher it is for parents with babies to secure a place.</t>
  </si>
  <si>
    <t>The second chart highlights the extremes: the age group with the most children waiting (12–17 months) and the one with the fewest (18–23 months).</t>
  </si>
  <si>
    <t>rankings[fjoldi_barna]: 12 - 17 mánaða = 25 | rankings[fjoldi_barna]: 12 - 17 mánaða = 22 | rankings[fjoldi_barna]: 12 - 17 mánaða = 15 | rankings[fjoldi_barna]: 12 - 17 mánaða = 14 | rankings[fjoldi_barna]: 12 - 17 mánaða = 12 | rankings[fjoldi_barna]: 12 - 17 mánaða = 9 | rankings[fjoldi_barna]: 12 - 17 mánaða = 8 | rankings[fjoldi_barna]: 18 - 23 mánaða = 7 | rankings[fjoldi_barna]: 18 - 23 mánaða = 4 | rankings[fjoldi_barna]: 18 - 23 mánaða = 2 | rankings[fjoldi_barna]: 18 - 23 mánaða = 1</t>
  </si>
  <si>
    <t>This makes it easy to spot just how wide the difference is—only one toddler in the 18–23 month group is waiting in some places, compared to up to 25 among the youngest.</t>
  </si>
  <si>
    <t>summary_stats[fjoldi_barna]: mean=5.83, min=1.0, max=25.0, total=204.0 | rankings[fjoldi_barna]: 12 - 17 mánaða = 25 | rankings[fjoldi_barna]: 18 - 23 mánaða = 7 | rankings[fjoldi_barna]: 18 - 23 mánaða = 4 | rankings[fjoldi_barna]: 18 - 23 mánaða = 2 | rankings[fjoldi_barna]: 18 - 23 mánaða = 1</t>
  </si>
  <si>
    <t>For families with very young children, the waiting game is longest.</t>
  </si>
  <si>
    <t>This can mean extra months of juggling child care or changing work plans.</t>
  </si>
  <si>
    <t>For older toddlers, the path to kindergarten is a bit smoother.</t>
  </si>
  <si>
    <t>If you're planning ahead for your own family, age might make all the difference.</t>
  </si>
  <si>
    <t>These numbers show how many children in Reykjavík are waiting for a kindergarten spot, broken down by age group and district.</t>
  </si>
  <si>
    <t>The data comes from several parts of the city but doesn't specify totals for each neighborhood—all focus is on age groups.</t>
  </si>
  <si>
    <t>The most recent update is from April 2026.</t>
  </si>
  <si>
    <t>Some details about the data's permissions were not available, so check with the city if you need official usage rights.</t>
  </si>
  <si>
    <t>run_03a</t>
  </si>
  <si>
    <t>What are the air quality trends in the city?</t>
  </si>
  <si>
    <t>City Air Pollution Levels Have Dropped Dramatically Since the 1990s</t>
  </si>
  <si>
    <t>Breathing easier isn’t just a feeling—it's backed up by the numbers.</t>
  </si>
  <si>
    <t>Over the past 20 years, pollution in Reykjavík has fallen by about three quarters.</t>
  </si>
  <si>
    <t>date_range: min=1994 max=2016 | trend[Fjöldi gilda]: direction=increasing, first=675.0, last=1308.0, pct_change=93.78, peak=1813.0 @ 2014, trough=675.0 | trend[Fjöldi yfir]: direction=increasing, first=4.0, last=10.0, pct_change=150.0, peak=122.0 @ 2002, trough=4.0 | summary_stats[Styrkur í (µg/ m3)]: mean=18.92, min=0.0, max=75.0, total=2005.0</t>
  </si>
  <si>
    <t>In 1994, total measured pollution was 134 micrograms per cubic meter, but by 2016, it was down to just 34.</t>
  </si>
  <si>
    <t>date_range: min=1994 max=2016 | trend[Styrkur í (µg/ m3)]: direction=decreasing, first=134.0, last=34.0, pct_change=-74.63, peak=134.0 @ 1994, trough=34.0 | trend[Styrkur í (µg/ m3)].groups[Svifryk PM10]: direction=decreasing, first=26.0, last=17.0, pct_change=-34.62 | trend[Fjöldi gilda].groups[Brennisteinsdíoxíð SO2]: direction=increasing, first=173.0, last=341.0, pct_change=97.11 | trend[Fjöldi gilda].groups[Brennisteinsvetni H2S]: direction=decreasing, first=347.0, last=341.0, pct_change=-1.73 | trend[Fjöldi gilda].groups[Svifryk PM10]: direction=increasing, first=173.0, last=334.0, pct_change=93.06 | trend[Fjöldi gilda].groups[Óson O3]: direction=increasing, first=171.0, last=347.0, pct_change=102.92 | latest_period_comparison[Fjöldi gilda] Brennisteinsdíoxíð SO2=341.0 | latest_period_comparison[Fjöldi gilda] Brennisteinsvetni H2S=341.0 | latest_period_comparison[Fjöldi gilda] Svifryk PM10=334.0 | latest_period_comparison[Fjöldi gilda] Óson O3=347.0</t>
  </si>
  <si>
    <t>75% — drop in air pollution since 1994</t>
  </si>
  <si>
    <t>date_range: min=1994 max=2016 | trend[Styrkur í (µg/ m3)]: direction=decreasing, first=134.0, last=34.0, pct_change=-74.63, peak=134.0 @ 1994, trough=34.0 | trend[Styrkur í (µg/ m3)].groups[Niturdíoxíð NO2]: direction=decreasing, first=75.0, last=13.0, pct_change=-82.67 | trend[Fjöldi gilda]: direction=increasing, first=675.0, last=1308.0, pct_change=93.78, peak=1813.0 @ 2014, trough=675.0 | summary_stats[Styrkur í (µg/ m3)]: mean=18.92, min=0.0, max=75.0, total=2005.0 | domain_extensions: {"station_comparison": [{"station": "Óson O3", "avg_reading": 43.0, "min_reading": 27.0, "max_reading": 62.0, "reading_count": 17}, {"station": "Niturdíoxíð NO2", "avg_reading": 27.04, "min_reading": 13.0, "max_reading": 75.0, "reading_count": 23}, {"station": "Svifryk PM10", "avg_reading": 23.87, "min_reading": 15.0, "max_reading": 39.0, "reading_count": 23}, {"station": "Brennisteinsvetni H2S", "avg_reading": 3.5, "min_reading": 3.0, "max_reading": 5.0, "reading_count": 6}, {"station": "Brennisteinsdíoxíð SO2", "avg_reading": 3.3, "min_reading": 1.0, "max_reading": 13.0, "reading_count": 23}, {"station": "Kolmónoxíð CO", "avg_reading": 0.43, "min_reading": 0.0, "max_reading": 1.0, "reading_count": 14}]}</t>
  </si>
  <si>
    <t>Air quality readings show pollution levels are now just a quarter of what they were in the mid-90s.</t>
  </si>
  <si>
    <t>In the chart below, you’ll see how city air pollution hit its highest point in 1994, then sank sharply.</t>
  </si>
  <si>
    <t>date_range: min=1994 max=2016 | trend[Styrkur í (µg/ m3)]: direction=decreasing, first=134.0, last=34.0, pct_change=-74.63, peak=134.0 @ 1994, trough=34.0</t>
  </si>
  <si>
    <t>By 2016, the overall readings were down nearly 75%.</t>
  </si>
  <si>
    <t>date_range: min=1994 max=2016 | trend[Styrkur í (µg/ m3)].groups[Niturdíoxíð NO2]: direction=decreasing, first=75.0, last=13.0, pct_change=-82.67 | trend[Fjöldi gilda]: direction=increasing, first=675.0, last=1308.0, pct_change=93.78, peak=1813.0 @ 2014, trough=675.0 | summary_stats[Styrkur í (µg/ m3)]: mean=18.92, min=0.0, max=75.0, total=2005.0 | domain_extensions: {"station_comparison": [{"station": "Óson O3", "avg_reading": 43.0, "min_reading": 27.0, "max_reading": 62.0, "reading_count": 17}, {"station": "Niturdíoxíð NO2", "avg_reading": 27.04, "min_reading": 13.0, "max_reading": 75.0, "reading_count": 23}, {"station": "Svifryk PM10", "avg_reading": 23.87, "min_reading": 15.0, "max_reading": 39.0, "reading_count": 23}, {"station": "Brennisteinsvetni H2S", "avg_reading": 3.5, "min_reading": 3.0, "max_reading": 5.0, "reading_count": 6}, {"station": "Brennisteinsdíoxíð SO2", "avg_reading": 3.3, "min_reading": 1.0, "max_reading": 13.0, "reading_count": 23}, {"station": "Kolmónoxíð CO", "avg_reading": 0.43, "min_reading": 0.0, "max_reading": 1.0, "reading_count": 14}]}</t>
  </si>
  <si>
    <t>This suggests big improvements over the years, with citywide efforts making a visible impact.</t>
  </si>
  <si>
    <t>For instance, ozone levels were higher than other types like carbon monoxide or nitrogen dioxide.</t>
  </si>
  <si>
    <t>This shows that while most pollutants dropped, some—like ozone—stood apart and deserve special attention.</t>
  </si>
  <si>
    <t>Nitrogen dioxide, for example, dropped from the highest early readings to much lower levels, while ozone increased over time.</t>
  </si>
  <si>
    <t>Seasonal patterns in the area chart suggest peaks during certain months, so it's not always the same story throughout the year.</t>
  </si>
  <si>
    <t>These improvements mean fewer pollutants in the air we all breathe, which is good news for families, runners, and anyone who likes a walk outside.</t>
  </si>
  <si>
    <t>summary_stats[Styrkur í (µg/ m3)]: mean=18.92, min=0.0, max=75.0, total=2005.0 | summary_stats[Fjöldi gilda]: mean=287.22, min=11.0, max=366.0, total=32169.0 | summary_stats[Fjöldi yfir]: mean=6.12, min=0.0, max=93.0, total=686.0</t>
  </si>
  <si>
    <t>While some challenges remain—like rising ozone—most measures are moving the right way.</t>
  </si>
  <si>
    <t>It’s a positive shift that everyone living here feels, whether they notice it or not.</t>
  </si>
  <si>
    <t>This story is based on pollution measurements from Grensásvegur in Reykjavík, covering years 1994 to 2016.</t>
  </si>
  <si>
    <t>The numbers include six main types of air pollutants.</t>
  </si>
  <si>
    <t>domain_extensions: {"station_comparison": [{"station": "Óson O3", "avg_reading": 43.0, "min_reading": 27.0, "max_reading": 62.0, "reading_count": 17}, {"station": "Niturdíoxíð NO2", "avg_reading": 27.04, "min_reading": 13.0, "max_reading": 75.0, "reading_count": 23}, {"station": "Svifryk PM10", "avg_reading": 23.87, "min_reading": 15.0, "max_reading": 39.0, "reading_count": 23}, {"station": "Brennisteinsvetni H2S", "avg_reading": 3.5, "min_reading": 3.0, "max_reading": 5.0, "reading_count": 6}, {"station": "Brennisteinsdíoxíð SO2", "avg_reading": 3.3, "min_reading": 1.0, "max_reading": 13.0, "reading_count": 23}, {"station": "Kolmónoxíð CO", "avg_reading": 0.43, "min_reading": 0.0, "max_reading": 1.0, "reading_count": 14}]}</t>
  </si>
  <si>
    <t>Some years, like 2010 and 2016, had issues with ozone readings.</t>
  </si>
  <si>
    <t>Data comes from city and environmental authorities, but licensing details are missing from the source.</t>
  </si>
  <si>
    <t>Conditions can vary across different parts of the city, so these numbers reflect the situation at the monitoring site.</t>
  </si>
  <si>
    <t>run_03b</t>
  </si>
  <si>
    <t>Air Pollution Has Dropped Sharply Since the 1990s</t>
  </si>
  <si>
    <t>Many residents worry about the air they breathe, especially during still winter days.</t>
  </si>
  <si>
    <t>But the long-term numbers offer some good news: air pollution levels at Grensásvegur have dropped by about 75% since their peak in 1994.</t>
  </si>
  <si>
    <t>75% — drop in pollution since 1994</t>
  </si>
  <si>
    <t>Air quality has improved a lot since the mid-90s, with pollution levels now a quarter of what they used to be.</t>
  </si>
  <si>
    <t>In the chart below, you can see how air pollution peaked in the 1990s, then fell steeply.</t>
  </si>
  <si>
    <t>By 2016, total concentrations were down from 134 to 34 micrograms per cubic meter—a huge improvement.</t>
  </si>
  <si>
    <t>The next chart compares all main pollutants.</t>
  </si>
  <si>
    <t>Most harmful substances—like nitrogen dioxide, carbon monoxide, and dust—have dropped since the mid-90s.</t>
  </si>
  <si>
    <t>Ozone, however, is showing the opposite trend and has risen over time.</t>
  </si>
  <si>
    <t>trend[Styrkur í (µg/ m3)]: direction=decreasing, first=134.0, last=34.0, pct_change=-74.63, peak=134.0 @ 1994, trough=34.0 | trend[Styrkur í (µg/ m3)].groups[Brennisteinsdíoxíð SO2]: direction=decreasing, first=5.0, last=1.0, pct_change=-80.0 | trend[Styrkur í (µg/ m3)].groups[Brennisteinsvetni H2S]: direction=stable, first=3.0, last=3.0, pct_change=0.0 | trend[Styrkur í (µg/ m3)].groups[Kolmónoxíð CO]: direction=decreasing, first=1.0, last=0.0, pct_change=-100.0 | trend[Styrkur í (µg/ m3)].groups[Niturdíoxíð NO2]: direction=decreasing, first=75.0, last=13.0, pct_change=-82.67 | trend[Styrkur í (µg/ m3)].groups[Svifryk PM10]: direction=decreasing, first=26.0, last=17.0, pct_change=-34.62 | trend[Styrkur í (µg/ m3)].groups[Óson O3]: direction=increasing, first=27.0, last=62.0, pct_change=129.63 | trend[Fjöldi gilda]: direction=increasing, first=675.0, last=1308.0, pct_change=93.78, peak=1813.0 @ 2014, trough=675.0 | trend[Fjöldi gilda].groups[Brennisteinsdíoxíð SO2]: direction=increasing, first=173.0, last=341.0, pct_change=97.11 | trend[Fjöldi gilda].groups[Brennisteinsvetni H2S]: direction=decreasing, first=347.0, last=341.0, pct_change=-1.73</t>
  </si>
  <si>
    <t>You’ll see this gap clearly in the bar chart, where ozone stands out as the only one going up.</t>
  </si>
  <si>
    <t>Nitrogen dioxide and dust were once much higher, but their hot spots fade in recent years.</t>
  </si>
  <si>
    <t>Ozone's steady climb also shows up here, staying strong even as others drop off.</t>
  </si>
  <si>
    <t>Air is cleaner now than it was twenty years ago, even if there are some ups and downs along the way.</t>
  </si>
  <si>
    <t>Breathing cleaner air helps everyone—especially children, the elderly, and people with allergies or asthma.</t>
  </si>
  <si>
    <t>Even though ozone has gone up, the big drop in other pollutants means Reykjavík’s air is much safer today than a generation ago.</t>
  </si>
  <si>
    <t>It's a reminder of how long-term efforts can make a real difference in daily life.</t>
  </si>
  <si>
    <t>This story is based on air quality measurements from Grensásvegur, covering the years 1994 to 2016.</t>
  </si>
  <si>
    <t>The numbers show averages across all pollutants recorded at this station; your local air may differ.</t>
  </si>
  <si>
    <t>Ozone readings were not available for 2010 and may be unreliable in 2016.</t>
  </si>
  <si>
    <t>The figures come from Reykjavík's environmental department, but no official licence information is provided, so this public summary is for general information only.</t>
  </si>
  <si>
    <t>run_04a</t>
  </si>
  <si>
    <t>What is the population distribution across neighborhoods?</t>
  </si>
  <si>
    <t>run_04b</t>
  </si>
  <si>
    <t>run_05a</t>
  </si>
  <si>
    <t>How has the city budget changed?</t>
  </si>
  <si>
    <t>City Finances Peaked Fast and Then Plunged After 2007</t>
  </si>
  <si>
    <t>trend[Sveitarsjóður]: direction=increasing, first=4010762.0, last=6725818.0, pct_change=67.69, peak=42761525.0 @ 2007, trough=-4826573.0</t>
  </si>
  <si>
    <t>How the city manages its money affects everything from public services to local investments.</t>
  </si>
  <si>
    <t>After rising steadily and reaching a high point in 2007, the city’s finances dropped sharply—falling by more than 80% from that peak.</t>
  </si>
  <si>
    <t>trend[Sveitarsjóður]: direction=increasing, first=4010762.0, last=6725818.0, pct_change=67.69, peak=42761525.0 @ 2007, trough=-4826573.0 | trend[Sveitarsjóður].groups[ (Hagnaður), tap af sölu rekstrarfjármuna]: direction=decreasing, first=2776.0, last=-8067099.0, pct_change=-290701.55 | trend[Sveitarsjóður].groups[Fjármögnunarhreyfingar samtals]: direction=increasing, first=2995291.0, last=5968018.0, pct_change=99.25 | trend[Sveitarsjóður].groups[Hækkun (lækkun) á handbæru fé]: direction=decreasing, first=207903.0, last=-1458362.0, pct_change=-801.46 | latest_period_comparison[Sveitarsjóður]  (Hagnaður), tap af sölu rekstrarfjármuna=-8067099.0 | latest_period_comparison[Sveitarsjóður] Fjármögnunarhreyfingar samtals=5968018.0 | summary_stats[Sveitarsjóður]: mean=394480.35, min=-25469171.0, max=29084625.0, total=119922025.0</t>
  </si>
  <si>
    <t>That big swing has shaped what the city can do ever since.</t>
  </si>
  <si>
    <t>84% — drop in city funds after 2007</t>
  </si>
  <si>
    <t>trend[Sveitarsjóður]: direction=increasing, first=4010762.0, last=6725818.0, pct_change=67.69, peak=42761525.0 @ 2007, trough=-4826573.0 | trend[Sveitarsjóður].groups[ Verðbætur og gengismunur]: direction=increasing, first=-1092126.0, last=636084.0, pct_change=-158.24 | trend[Sveitarsjóður].groups[Fjárfestingarhreyfingar samtals]: direction=decreasing, first=-5978848.0, last=-6417901.0, pct_change=7.34 | trend[Sveitarsjóður].groups[Handbært fé frá rekstri, samtals]: direction=decreasing, first=3191460.0, last=1008478.0, pct_change=-68.4 | trend[Sveitarsjóður].groups[Rekstrarniðurstaða]: direction=increasing, first=-1030842.0, last=4971331.0, pct_change=-582.26 | latest_period_comparison[Sveitarsjóður]  Verðbætur og gengismunur=636084.0 | latest_period_comparison[Sveitarsjóður] Handbært fé frá rekstri, samtals=1008478.0 | summary_stats[Sveitarsjóður]: mean=394480.35, min=-25469171.0, max=29084625.0, total=119922025.0</t>
  </si>
  <si>
    <t>After hitting a record high in 2007, the city’s available funds fell by more than four-fifths.</t>
  </si>
  <si>
    <t>In the chart below, you’ll see lines tracing the city’s finances from 2002 to 2017.</t>
  </si>
  <si>
    <t>date_range: min=2002 max=2017</t>
  </si>
  <si>
    <t>There’s steady growth at first, reaching a peak in 2007—but then a dramatic drop.</t>
  </si>
  <si>
    <t>By 2017, the main city fund was down 84% from its high point.</t>
  </si>
  <si>
    <t>date_range: min=2002 max=2017 | trend[Sveitarsjóður].groups[ Verðbætur og gengismunur]: direction=increasing, first=-1092126.0, last=636084.0, pct_change=-158.24 | trend[Sveitarsjóður].groups[Fjárfestingarhreyfingar samtals]: direction=decreasing, first=-5978848.0, last=-6417901.0, pct_change=7.34 | trend[Sveitarsjóður].groups[Handbært fé frá rekstri, samtals]: direction=decreasing, first=3191460.0, last=1008478.0, pct_change=-68.4 | trend[Sveitarsjóður].groups[Rekstrarniðurstaða]: direction=increasing, first=-1030842.0, last=4971331.0, pct_change=-582.26 | latest_period_comparison[Sveitarsjóður]  Verðbætur og gengismunur=636084.0 | latest_period_comparison[Sveitarsjóður] Handbært fé frá rekstri, samtals=1008478.0 | summary_stats[Sveitarsjóður]: mean=394480.35, min=-25469171.0, max=29084625.0, total=119922025.0</t>
  </si>
  <si>
    <t>This shows how quickly big changes can happen in the city’s financial outlook.</t>
  </si>
  <si>
    <t>One group—operating cash flow—stands out as much higher than what the city spent on new long-term projects.</t>
  </si>
  <si>
    <t>trend[Sveitarsjóður].groups[ (Hagnaður), tap af sölu rekstrarfjármuna]: direction=decreasing, first=2776.0, last=-8067099.0, pct_change=-290701.55 | trend[Sveitarsjóður].groups[ Afborganir langtímalána]: direction=decreasing, first=-540864.0, last=-1467719.0, pct_change=171.37 | trend[Sveitarsjóður].groups[ Aðrar fjárfestingahreyfingar]: direction=increasing, first=544493.0, last=7187578.0, pct_change=1220.05 | trend[Sveitarsjóður].groups[ Aðrar fjármögnunarhreyfingar]: direction=decreasing, first=188891.0, last=-821394.0, pct_change=-534.85 | trend[Sveitarsjóður].groups[ Aðrar rekstrarhreyfingar]: direction=increasing, first=0.0, last=2000.0, pct_change=0 | trend[Sveitarsjóður].groups[ Breytingar á skammtímaliðum]: direction=decreasing, first=-195593.0, last=-10216862.0, pct_change=5123.53 | trend[Sveitarsjóður].groups[ Eignarhlutir í félögum, breyting]: direction=decreasing, first=-328311.0, last=-729315.0, pct_change=122.14 | trend[Sveitarsjóður].groups[ Fjárfesting í varanlegum rekstrarfjármunum]: direction=decreasing, first=-6373566.0, last=-15419796.0, pct_change=141.93 | trend[Sveitarsjóður].groups[ Reiknaðar afskriftir]: direction=increasing, first=1746909.0, last=4663706.0, pct_change=166.97 | trend[Sveitarsjóður].groups[ Söluverð seldra rekstrarfjármuna]: direction=increasing, first=178536.0, last=2543632.0, pct_change=1324.72</t>
  </si>
  <si>
    <t>This gap means the city’s day-to-day funds far outweighed its investments in things like buildings or roads for that year.</t>
  </si>
  <si>
    <t>Some areas, like long-term loan payments or profits from asset sales, moved up or down a lot.</t>
  </si>
  <si>
    <t>This mix reveals how shifting priorities and outside factors have shaped the city’s ability to provide services and invest in new projects.</t>
  </si>
  <si>
    <t>Big swings in the city’s finances affect the services and improvements people see every day.</t>
  </si>
  <si>
    <t>Sharp drops can mean tougher choices and fewer upgrades, while years with extra funds open up more opportunities.</t>
  </si>
  <si>
    <t>summary_stats[Sveitarsjóður]: mean=394480.35, min=-25469171.0, max=29084625.0, total=119922025.0</t>
  </si>
  <si>
    <t>Understanding these changes helps us see why some investments are quick to happen—while others take longer.</t>
  </si>
  <si>
    <t>This data covers the city’s finances from 2002 through 2017, so it does not show the most recent years.</t>
  </si>
  <si>
    <t>The numbers include many parts of the budget, grouped by type of spending and income.</t>
  </si>
  <si>
    <t>Results are totals across all areas, not by neighborhood.</t>
  </si>
  <si>
    <t>Because no licence information is listed, readers should be mindful that this is for general information and not official accounting statements.</t>
  </si>
  <si>
    <t>run_05b</t>
  </si>
  <si>
    <t>City Finances Hit Record High Before Sharp Drop</t>
  </si>
  <si>
    <t>Many people wonder how the city's finances have shifted over time, especially when making decisions at home can feel tight.</t>
  </si>
  <si>
    <t>The numbers reveal that city funds soared to record heights in 2007, before dropping sharply—falling by more than 80% over the next decade.</t>
  </si>
  <si>
    <t>84% — decline after 2007 peak</t>
  </si>
  <si>
    <t>The city's available funds dropped by more than four-fifths from their highest point in 2007.</t>
  </si>
  <si>
    <t>In the chart below, you can see how the city's total funds grew quickly from 2002, peaking in 2007.</t>
  </si>
  <si>
    <t>date_range: min=2002 max=2017 | trend[Sveitarsjóður]: direction=increasing, first=4010762.0, last=6725818.0, pct_change=67.69, peak=42761525.0 @ 2007, trough=-4826573.0</t>
  </si>
  <si>
    <t>After that, the line drops steeply, showing that by 2017, funds had fallen to just a fraction of their earlier high.</t>
  </si>
  <si>
    <t>This swing is rare—funds rose nearly fivefold and then dropped by more than 80% after the peak.</t>
  </si>
  <si>
    <t>trend[Sveitarsjóður].groups[ (Hagnaður), tap af sölu rekstrarfjármuna]: direction=decreasing, first=2776.0, last=-8067099.0, pct_change=-290701.55 | trend[Sveitarsjóður].groups[Fjármögnunarhreyfingar samtals]: direction=increasing, first=2995291.0, last=5968018.0, pct_change=99.25 | trend[Sveitarsjóður].groups[Hækkun (lækkun) á handbæru fé]: direction=decreasing, first=207903.0, last=-1458362.0, pct_change=-801.46 | latest_period_comparison[Sveitarsjóður]  (Hagnaður), tap af sölu rekstrarfjármuna=-8067099.0 | latest_period_comparison[Sveitarsjóður] Fjármögnunarhreyfingar samtals=5968018.0 | summary_stats[Sveitarsjóður]: mean=394480.35, min=-25469171.0, max=29084625.0, total=119922025.0</t>
  </si>
  <si>
    <t>The biggest gap is between money from operations—over 24 billion higher than what was spent on long-term investments.</t>
  </si>
  <si>
    <t>trend[Sveitarsjóður].groups[ Söluverð seldra rekstrarfjármuna]: direction=increasing, first=178536.0, last=2543632.0, pct_change=1324.72 | trend[Sveitarsjóður].groups[ Verðbætur og gengismunur]: direction=increasing, first=-1092126.0, last=636084.0, pct_change=-158.24</t>
  </si>
  <si>
    <t>Other categories, like new long-term loans and pension commitments, also stand out.</t>
  </si>
  <si>
    <t>This makes it clear where the city's priorities and challenges lie today.</t>
  </si>
  <si>
    <t>For example, spending on permanent assets and long-term loans have both changed a lot since 2002, shifting the balance of the city’s overall cash flow.</t>
  </si>
  <si>
    <t>These highs and lows in city finances shape what the city can offer—from services to new investments.</t>
  </si>
  <si>
    <t>For residents, big swings in funding can mean more uncertainty about future projects or services.</t>
  </si>
  <si>
    <t>Understanding this helps everyone see how the city must plan for both growth and sudden changes.</t>
  </si>
  <si>
    <t>This story is based on city finance numbers from 2002 to 2017, measured in thousands of króna.</t>
  </si>
  <si>
    <t>It covers the rise, peak, and sharp decline during this period, but doesn't include anything after 2017.</t>
  </si>
  <si>
    <t>The numbers show totals for all of Reykjavík—not broken down by neighborhood or service.</t>
  </si>
  <si>
    <t>Note: The licence for this data could not be confirmed, so always use it with care.</t>
  </si>
  <si>
    <t>run_06a</t>
  </si>
  <si>
    <t>How many traffic accidents occurred these past years?</t>
  </si>
  <si>
    <t>Traffic Accidents in Reykjavík Almost Halved Since 2000</t>
  </si>
  <si>
    <t>date_range: min=2000 max=2019 | trend[Fjöldi slasaðra á 1.000 ökutæki]: direction=decreasing, first=7.8, last=2.7, pct_change=-65.38, peak=7.8 @ 2000, trough=2.7 | trend[Þar af banaslys]: direction=decreasing, first=3.0, last=0.0, pct_change=-100.0, peak=3.0 @ 2000, trough=0.0</t>
  </si>
  <si>
    <t>Many drivers worry about road safety, especially as the city grows.</t>
  </si>
  <si>
    <t>But here's some good news: the number of traffic accidents per 1,000 vehicles in Reykjavík dropped by nearly half in the last 20 years.</t>
  </si>
  <si>
    <t>date_range: min=2000 max=2019 | total_periods: 20 | trend[Fjöldi ökutækja 31. desember]: direction=increasing, first=75842.0, last=118437.0, pct_change=56.16, peak=139986.0 @ 2007, trough=75842.0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 | summary_stats[Fjöldi ökutækja 31. desember]: mean=101708.25, min=75842.0, max=139986.0, total=2034165.0</t>
  </si>
  <si>
    <t>Even with more cars on the road, crashes are much less common than they used to be.</t>
  </si>
  <si>
    <t>47% — fewer accidents per 1,000 cars since 2000</t>
  </si>
  <si>
    <t>There's been a big drop in accidents, even though the number of vehicles has gone up.</t>
  </si>
  <si>
    <t>In the chart below, you can see how the number of accidents per 1,000 vehicles starts out high in 2000, then falls sharply after 2001.</t>
  </si>
  <si>
    <t>date_range: min=2000 max=2019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t>
  </si>
  <si>
    <t>By 2019, the rate is almost 50% lower than where it began.</t>
  </si>
  <si>
    <t>date_range: min=2000 max=2019 | trend[Fjöldi árekstra á 1.000 ökutæki]: direction=decreasing, first=49.6, last=26.3, pct_change=-46.98, peak=50.9 @ 2001, trough=22.8 | summary_stats[Fjöldi árekstra á 1.000 ökutæki]: mean=33.78, min=22.8, max=50.9, total=675.6</t>
  </si>
  <si>
    <t>The curve dips noticeably around 2008 and stays much lower through the last decade.</t>
  </si>
  <si>
    <t>trend[Fjöldi ökutækja 31. desember]: direction=increasing, first=75842.0, last=118437.0, pct_change=56.16, peak=139986.0 @ 2007, trough=75842.0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t>
  </si>
  <si>
    <t>The next chart shows that the total number of vehicles on the road grew by more than half from 2000 to 2019.</t>
  </si>
  <si>
    <t>It peaks around 2007, then drops a little before rising again.</t>
  </si>
  <si>
    <t>trend[Fjöldi ökutækja 31. desember]: direction=increasing, first=75842.0, last=118437.0, pct_change=56.16, peak=139986.0 @ 2007, trough=75842.0</t>
  </si>
  <si>
    <t>Despite this big increase in traffic, accident rates per vehicle have steadily gone down.</t>
  </si>
  <si>
    <t>Like the accident rate, injury numbers also fall sharply over the years, dropping by about two-thirds.</t>
  </si>
  <si>
    <t>This suggests that not only are crashes less frequent, but fewer people are getting hurt as well.</t>
  </si>
  <si>
    <t>For people moving around Reykjavík, these trends mean roads have become safer than they were two decades ago.</t>
  </si>
  <si>
    <t>summary_stats[Fjöldi ökutækja 31. desember]: mean=101708.25, min=75842.0, max=139986.0, total=2034165.0 | summary_stats[Fjöldi árekstra á 1.000 ökutæki]: mean=33.78, min=22.8, max=50.9, total=675.6 | summary_stats[Fjöldi slasaðra á 1.000 ökutæki]: mean=4.09, min=2.7, max=7.8, total=81.8 | summary_stats[Þar af banaslys]: mean=1.45, min=0.0, max=3.0, total=29.0</t>
  </si>
  <si>
    <t>Fewer crashes and injuries help everyone feel more secure, whether you're driving, cycling, or walking through the city.</t>
  </si>
  <si>
    <t>This story uses traffic accident numbers from 2000 to 2019 in Reykjavík, based on police records.</t>
  </si>
  <si>
    <t>The figures do not include minor property-damage crashes that people report directly to insurance companies, so some incidents may not be counted.</t>
  </si>
  <si>
    <t>The most recent year in the data is 2019.</t>
  </si>
  <si>
    <t>date_range: min=2000 max=2019</t>
  </si>
  <si>
    <t>Licence information for these numbers was not published.</t>
  </si>
  <si>
    <t>run_06b</t>
  </si>
  <si>
    <t>Serious Traffic Accidents in Reykjavík Have Plummeted</t>
  </si>
  <si>
    <t>Everyone wants to feel safer on the road, whether driving or walking.</t>
  </si>
  <si>
    <t>The numbers from the past twenty years tell a surprisingly hopeful story: traffic accidents with injuries or deaths have dropped by almost half since the early 2000s, and serious injuries are much rarer than before.</t>
  </si>
  <si>
    <t>65% — fewer injuries per vehicle since 2000</t>
  </si>
  <si>
    <t>date_range: min=2000 max=2019 | trend[Fjöldi slasaðra á 1.000 ökutæki]: direction=decreasing, first=7.8, last=2.7, pct_change=-65.38, peak=7.8 @ 2000, trough=2.7 | trend[Þar af banaslys]: direction=decreasing, first=3.0, last=0.0, pct_change=-100.0, peak=3.0 @ 2000, trough=0.0 | summary_stats[Fjöldi ökutækja 31. desember]: mean=101708.25, min=75842.0, max=139986.0, total=2034165.0</t>
  </si>
  <si>
    <t>People are much less likely to be hurt in a car crash than they were twenty years ago.</t>
  </si>
  <si>
    <t>In the chart below, you can follow how accidents per thousand vehicles have changed since 2000.</t>
  </si>
  <si>
    <t>In the early 2000s, the rate was almost 50 accidents per 1,000 cars, but by 2019 it had dropped to around 26.</t>
  </si>
  <si>
    <t>date_range: min=2000 max=2019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 | summary_stats[Fjöldi árekstra á 1.000 ökutæki]: mean=33.78, min=22.8, max=50.9, total=675.6</t>
  </si>
  <si>
    <t>That’s about half as many accidents per car as there used to be.</t>
  </si>
  <si>
    <t>The number climbed quickly at first, reaching a peak in 2007, before dropping by about 15% and then leveling off.</t>
  </si>
  <si>
    <t>Even though there have been ups and downs in how many cars we have, the steady fall in accident rates suggests drivers are sharing the road more safely.</t>
  </si>
  <si>
    <t>The next chart shows how injuries in traffic accidents have dropped over time.</t>
  </si>
  <si>
    <t>In 2000, there were nearly 8 injuries per 1,000 vehicles.</t>
  </si>
  <si>
    <t>date_range: min=2000 max=2019 | trend[Fjöldi ökutækja 31. desember]: direction=increasing, first=75842.0, last=118437.0, pct_change=56.16, peak=139986.0 @ 2007, trough=75842.0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 | summary_stats[Fjöldi ökutækja 31. desember]: mean=101708.25, min=75842.0, max=139986.0, total=2034165.0 | summary_stats[Fjöldi árekstra á 1.000 ökutæki]: mean=33.78, min=22.8, max=50.9, total=675.6 | summary_stats[Fjöldi slasaðra á 1.000 ökutæki]: mean=4.09, min=2.7, max=7.8, total=81.8</t>
  </si>
  <si>
    <t>By 2019, it was down to less than 3.</t>
  </si>
  <si>
    <t>date_range: min=2000 max=2019 | trend[Fjöldi ökutækja 31. desember]: direction=increasing, first=75842.0, last=118437.0, pct_change=56.16, peak=139986.0 @ 2007, trough=75842.0 | trend[Fjöldi árekstra á 1.000 ökutæki]: direction=decreasing, first=49.6, last=26.3, pct_change=-46.98, peak=50.9 @ 2001, trough=22.8 | trend[Fjöldi slasaðra á 1.000 ökutæki]: direction=decreasing, first=7.8, last=2.7, pct_change=-65.38, peak=7.8 @ 2000, trough=2.7 | trend[Þar af banaslys]: direction=decreasing, first=3.0, last=0.0, pct_change=-100.0, peak=3.0 @ 2000, trough=0.0 | summary_stats[Fjöldi ökutækja 31. desember]: mean=101708.25, min=75842.0, max=139986.0, total=2034165.0 | summary_stats[Fjöldi árekstra á 1.000 ökutæki]: mean=33.78, min=22.8, max=50.9, total=675.6 | summary_stats[Þar af banaslys]: mean=1.45, min=0.0, max=3.0, total=29.0 | matched_columns: measure -&gt; Fjöldi ökutækja 31. desember</t>
  </si>
  <si>
    <t>Deaths from traffic accidents also went from several each year at the start of the period to none in the most recent years.</t>
  </si>
  <si>
    <t>For local families, this means far fewer lives interrupted by tragedy.</t>
  </si>
  <si>
    <t>This steady drop in accidents and injuries means roads in Reykjavík are safer for all of us.</t>
  </si>
  <si>
    <t>Fewer serious crashes can give peace of mind to parents, cyclists, and drivers alike.</t>
  </si>
  <si>
    <t>While there will always be risks, the numbers show that city life is becoming a little less dangerous every year.</t>
  </si>
  <si>
    <t>This story is based on numbers reported by Reykjavík police from 2000 to 2019.</t>
  </si>
  <si>
    <t>The data does not include minor property-only accidents that drivers reported directly to their insurance, so the true number of all fender-benders is higher.</t>
  </si>
  <si>
    <t>Also, licence information for this data could not be fully confirmed.</t>
  </si>
  <si>
    <t>These numbers mostly reflect the most serious collisions—the ones that matter most for public safety.</t>
  </si>
  <si>
    <t>run_07a</t>
  </si>
  <si>
    <t>How many cruise ships have come to the city?</t>
  </si>
  <si>
    <t>German Cruise Visitors Nearly Quadrupled Since 2002</t>
  </si>
  <si>
    <t>Every summer, ships line up at the harbor, bringing thousands of visitors from across the world.</t>
  </si>
  <si>
    <t>The numbers reveal that German cruise passengers alone surged from about 13,000 in 2002 to nearly 49,000 in 2019.</t>
  </si>
  <si>
    <t>date_range: min=2002 max=2019 | trend[Þýskaland]: direction=increasing, first=12707.0, last=48774.0, pct_change=283.84, peak=48774.0 @ 2019, trough=12707.0</t>
  </si>
  <si>
    <t>49,000 — German cruise passengers in 2019</t>
  </si>
  <si>
    <t>That’s nearly four times as many as in 2002, showing remarkable growth.</t>
  </si>
  <si>
    <t>In the chart below, you’ll see a steady rise in visitors from Germany over nearly two decades.</t>
  </si>
  <si>
    <t>The numbers start at 13,000 in 2002 and climb each year, peaking at almost 49,000 in 2019.</t>
  </si>
  <si>
    <t>This jump of about 280% shows how popular the city has become with German cruise guests.</t>
  </si>
  <si>
    <t>summary_stats[Sviss]: mean=843.64, min=321.0, max=1608.0, total=9280.0</t>
  </si>
  <si>
    <t>Dutch arrivals grew from just over 500 in 2002 to a high point of 1,400 in 2008.</t>
  </si>
  <si>
    <t>date_range: min=2002 max=2019 | trend[Holland]: direction=increasing, first=576.0, last=1196.0, pct_change=107.64, peak=1415.0 @ 2008, trough=404.0</t>
  </si>
  <si>
    <t>But since that peak, the numbers dipped back to about 1,200 by 2019, showing some ups and downs along the way.</t>
  </si>
  <si>
    <t>Unlike other countries, arrivals from Russia started at about 550 in 2002, but dropped by 40% by 2019.</t>
  </si>
  <si>
    <t>date_range: min=2002 max=2019 | trend[Þýskaland]: direction=increasing, first=12707.0, last=48774.0, pct_change=283.84, peak=48774.0 @ 2019, trough=12707.0 | trend[Holland]: direction=increasing, first=576.0, last=1196.0, pct_change=107.64, peak=1415.0 @ 2008, trough=404.0 | trend[Rússland]: direction=decreasing, first=555.0, last=330.0, pct_change=-40.54, peak=660.0 @ 2005, trough=179.0 | trend[Sviss]: direction=increasing, first=321.0, last=1608.0, pct_change=400.93, peak=1608.0 @ 2012, trough=321.0 | trend[Ítalía]: direction=increasing, first=80.0, last=1093.0, pct_change=1266.25, peak=2192.0 @ 2010, trough=40.0 | summary_stats[Holland]: mean=833.09, min=404.0, max=1415.0, total=9164.0 | summary_stats[Ítalía]: mean=1114.55, min=40.0, max=2192.0, total=12260.0</t>
  </si>
  <si>
    <t>After peaking at 660 in 2005, the numbers fell to just 330 by the end of the period.</t>
  </si>
  <si>
    <t>trend[Rússland]: direction=decreasing, first=555.0, last=330.0, pct_change=-40.54, peak=660.0 @ 2005, trough=179.0 | summary_stats[Rússland]: mean=385.2, min=179.0, max=660.0, total=3852.0</t>
  </si>
  <si>
    <t>Not every country followed the same pattern.</t>
  </si>
  <si>
    <t>Other nationalities, like Swiss and Austrian cruise visitors, also saw big increases over the years.</t>
  </si>
  <si>
    <t>Numbers from Switzerland grew fivefold, and Austrian arrivals topped out in 2012.</t>
  </si>
  <si>
    <t>trend[Sviss]: direction=increasing, first=321.0, last=1608.0, pct_change=400.93, peak=1608.0 @ 2012, trough=321.0 | trend[Austurríki]: direction=increasing, first=253.0, last=1389.0, pct_change=449.01, peak=1389.0 @ 2012, trough=253.0</t>
  </si>
  <si>
    <t>This tells us that the city’s cruise business grew not just from one country, but from many parts of Europe.</t>
  </si>
  <si>
    <t>These changing patterns reflect how our city has become a magnet for cruise travelers.</t>
  </si>
  <si>
    <t>More visitors mean a livelier harbor and busier local businesses during the tourist season.</t>
  </si>
  <si>
    <t>The mix of guests also brings different cultures to our streets, making the city feel even more like an international meeting point.</t>
  </si>
  <si>
    <t>This data tracks the number of cruise ship passengers passing through the city’s harbors from various countries each year, from 2002 to 2019.</t>
  </si>
  <si>
    <t>It doesn’t count the number of ships themselves, only the passengers, and breaks totals down by nationality.</t>
  </si>
  <si>
    <t>More recent years and detailed passenger information are not included.</t>
  </si>
  <si>
    <t>As the source's licence information is missing, this story is based on data made publicly available by city authorities—interpret it as a broad view of trends, not an official count for every ship.</t>
  </si>
  <si>
    <t>run_07b</t>
  </si>
  <si>
    <t>Cruise Arrivals from Germany Nearly Quadrupled in 18 Years</t>
  </si>
  <si>
    <t>Every summer, cruise ships bring thousands of passengers from all over the world to Faxaflóahafnir.</t>
  </si>
  <si>
    <t>But no group has grown as quickly as visitors from Germany.</t>
  </si>
  <si>
    <t>The numbers nearly quadrupled from 13,000 in 2002 to almost 49,000 in 2019.</t>
  </si>
  <si>
    <t>283% — more German cruise visitors since 2002</t>
  </si>
  <si>
    <t>Germany went from sending about 13,000 passengers in 2002 to almost 49,000 in 2019—a dramatic rise for any single country.</t>
  </si>
  <si>
    <t>If you look at the chart below, you’ll see the sharp climb in German cruise ship passengers over the years.</t>
  </si>
  <si>
    <t>After some steady growth, the total leapt even higher after 2012, reaching a peak in 2019.</t>
  </si>
  <si>
    <t>date_range: min=2002 max=2019 | trend[Þýskaland]: direction=increasing, first=12707.0, last=48774.0, pct_change=283.84, peak=48774.0 @ 2019, trough=12707.0 | trend[Sviss]: direction=increasing, first=321.0, last=1608.0, pct_change=400.93, peak=1608.0 @ 2012, trough=321.0 | trend[Austurríki]: direction=increasing, first=253.0, last=1389.0, pct_change=449.01, peak=1389.0 @ 2012, trough=253.0</t>
  </si>
  <si>
    <t>This jump means that more cruises coming through our ports now include stops for German holidaymakers—and their numbers have outpaced all other groups.</t>
  </si>
  <si>
    <t>The next chart shows how passengers from Holland also grew, but their trend is a little different.</t>
  </si>
  <si>
    <t>trend[Þýskaland]: direction=increasing, first=12707.0, last=48774.0, pct_change=283.84, peak=48774.0 @ 2019, trough=12707.0 | trend[Holland]: direction=increasing, first=576.0, last=1196.0, pct_change=107.64, peak=1415.0 @ 2008, trough=404.0 | trend[Rússland]: direction=decreasing, first=555.0, last=330.0, pct_change=-40.54, peak=660.0 @ 2005, trough=179.0 | trend[Sviss]: direction=increasing, first=321.0, last=1608.0, pct_change=400.93, peak=1608.0 @ 2012, trough=321.0 | trend[Austurríki]: direction=increasing, first=253.0, last=1389.0, pct_change=449.01, peak=1389.0 @ 2012, trough=253.0 | trend[Belgía]: direction=decreasing, first=476.0, last=463.0, pct_change=-2.73, peak=627.0 @ 2011, trough=133.0 | trend[Noregur]: direction=increasing, first=12.0, last=209.0, pct_change=1641.67, peak=275.0 @ 2007, trough=12.0 | trend[Ítalía]: direction=increasing, first=80.0, last=1093.0, pct_change=1266.25, peak=2192.0 @ 2010, trough=40.0 | trend[Spánn]: direction=increasing, first=47.0, last=624.0, pct_change=1227.66, peak=4682.0 @ 2010, trough=15.0 | trend[Svíþjóð]: direction=increasing, first=90.0, last=117.0, pct_change=30.0, peak=765.0 @ 2010, trough=8.0</t>
  </si>
  <si>
    <t>After peaking at over 1,400 passengers in 2008, numbers slipped back to just under 1,200 in 2019—a drop of about one-sixth.</t>
  </si>
  <si>
    <t>date_range: min=2002 max=2019 | trend[Þýskaland]: direction=increasing, first=12707.0, last=48774.0, pct_change=283.84, peak=48774.0 @ 2019, trough=12707.0 | trend[Holland]: direction=increasing, first=576.0, last=1196.0, pct_change=107.64, peak=1415.0 @ 2008, trough=404.0</t>
  </si>
  <si>
    <t>While still well above the early 2000s, their growth has not kept pace with Germany.</t>
  </si>
  <si>
    <t>Numbers started high in 2002, peaked at 660 in 2005, but steadily declined to just 330 by 2019.</t>
  </si>
  <si>
    <t>date_range: min=2002 max=2019 | trend[Þýskaland]: direction=increasing, first=12707.0, last=48774.0, pct_change=283.84, peak=48774.0 @ 2019, trough=12707.0 | trend[Rússland]: direction=decreasing, first=555.0, last=330.0, pct_change=-40.54, peak=660.0 @ 2005, trough=179.0 | summary_stats[Rússland]: mean=385.2, min=179.0, max=660.0, total=3852.0</t>
  </si>
  <si>
    <t>That's about a 40% drop from where they started, showing that not every nationality is following the same trend.</t>
  </si>
  <si>
    <t>trend[Holland]: direction=increasing, first=576.0, last=1196.0, pct_change=107.64, peak=1415.0 @ 2008, trough=404.0 | trend[Rússland]: direction=decreasing, first=555.0, last=330.0, pct_change=-40.54, peak=660.0 @ 2005, trough=179.0 | trend[Sviss]: direction=increasing, first=321.0, last=1608.0, pct_change=400.93, peak=1608.0 @ 2012, trough=321.0 | trend[Ítalía]: direction=increasing, first=80.0, last=1093.0, pct_change=1266.25, peak=2192.0 @ 2010, trough=40.0 | summary_stats[Holland]: mean=833.09, min=404.0, max=1415.0, total=9164.0 | summary_stats[Ítalía]: mean=1114.55, min=40.0, max=2192.0, total=12260.0</t>
  </si>
  <si>
    <t>Looking at arrivals from Switzerland, you'll see a sharp rise to just over 1,600 passengers in 2012—their highest point on record.</t>
  </si>
  <si>
    <t>Even so, the 2019 total was still about five times what it was in 2002.</t>
  </si>
  <si>
    <t>For Austrian visitors, growth was steady with a notable peak at nearly 1,400 passengers in 2012.</t>
  </si>
  <si>
    <t>Numbers stayed well above early 2000s levels in recent years, showing that many more Austrians are stopping here during their cruises compared to the past.</t>
  </si>
  <si>
    <t>This surge in cruise passengers, especially from Germany and other European countries, has brought more visitors—and more activity—to our city.</t>
  </si>
  <si>
    <t>While some groups like the Russians are sending fewer tourists, the overall rise is clear.</t>
  </si>
  <si>
    <t>It means busier summers around the harbor, new business for locals, and more international ties with every docking cruise ship.</t>
  </si>
  <si>
    <t>This information comes from official port authorities and shows yearly counts of cruise ship passengers by nationality passing through Faxaflóahafnir, from 2002 through 2019.</t>
  </si>
  <si>
    <t>It tracks groups from several countries, not just overall totals.</t>
  </si>
  <si>
    <t>The numbers reflect only those stopping by cruise ship, not all tourists.</t>
  </si>
  <si>
    <t>Note that the most recent year included is 2019, so recent changes are not captured.</t>
  </si>
  <si>
    <t>Also, the portal doesn’t say what licence these numbers are published under.</t>
  </si>
  <si>
    <t>run_08a</t>
  </si>
  <si>
    <t>How has unemployment developed these past years?</t>
  </si>
  <si>
    <t>Unemployment Still High, but Lower Than Its Peak Year</t>
  </si>
  <si>
    <t>trend[0-6 mán (skammtíma)]: direction=increasing, first=7696.0, last=43030.0, pct_change=459.12, peak=50781.0 @ 2009, trough=5489.0 | trend[6-12 mán (langtíma)]: direction=increasing, first=1793.0, last=6944.0, pct_change=287.28, peak=23052.0 @ 2009, trough=1136.0 | trend[meira en ár (langtíma)]: direction=increasing, first=2262.0, last=6428.0, pct_change=184.17, peak=26931.0 @ 2011, trough=1078.0 | trend[Alls, fjöldi atvinnulausra]: direction=increasing, first=11751.0, last=56402.0, pct_change=379.98, peak=79069.0 @ 2009, trough=8029.0</t>
  </si>
  <si>
    <t>Many people have felt the stress of job loss in the past years, but the city is no longer at the worst point.</t>
  </si>
  <si>
    <t>In fact, the number of people out of work is almost a third lower than the peak a decade ago.</t>
  </si>
  <si>
    <t>56,400 — people unemployed in the most recent year</t>
  </si>
  <si>
    <t>That's down nearly 30% from the peak in 2009, when almost 79,100 were unemployed.</t>
  </si>
  <si>
    <t>trend[0-6 mán (skammtíma)]: direction=increasing, first=7696.0, last=43030.0, pct_change=459.12, peak=50781.0 @ 2009, trough=5489.0 | trend[0-6 mán (skammtíma)].groups[Febrúar]: direction=increasing, first=949.0, last=2130.0, pct_change=124.45 | trend[0-6 mán (skammtíma)].groups[Maí]: direction=increasing, first=730.0, last=11029.0, pct_change=1410.82 | latest_period_comparison[0-6 mán (skammtíma)] Febrúar=2130.0 | trend[6-12 mán (langtíma)]: direction=increasing, first=1793.0, last=6944.0, pct_change=287.28, peak=23052.0 @ 2009, trough=1136.0 | trend[6-12 mán (langtíma)].groups[Febrúar]: direction=increasing, first=195.0, last=1034.0, pct_change=430.26 | trend[6-12 mán (langtíma)].groups[Maí]: direction=increasing, first=221.0, last=1300.0, pct_change=488.24 | latest_period_comparison[6-12 mán (langtíma)] Maí=1300.0 | trend[meira en ár (langtíma)].groups[Maí]: direction=increasing, first=230.0, last=1209.0, pct_change=425.65 | trend[Alls, fjöldi atvinnulausra]: direction=increasing, first=11751.0, last=56402.0, pct_change=379.98, peak=79069.0 @ 2009, trough=8029.0 | trend[Alls, fjöldi atvinnulausra].groups[Desember]: direction=increasing, first=859.0, last=3530.0, pct_change=310.94 | trend[Alls, fjöldi atvinnulausra].groups[Nóvember]: direction=increasing, first=834.0, last=3418.0, pct_change=309.83 | …</t>
  </si>
  <si>
    <t>In the chart below, you can see how the line climbs steeply in 2009, with unemployment hitting its highest point.</t>
  </si>
  <si>
    <t>trend[0-6 mán (skammtíma)]: direction=increasing, first=7696.0, last=43030.0, pct_change=459.12, peak=50781.0 @ 2009, trough=5489.0 | trend[6-12 mán (langtíma)]: direction=increasing, first=1793.0, last=6944.0, pct_change=287.28, peak=23052.0 @ 2009, trough=1136.0 | trend[Alls, fjöldi atvinnulausra]: direction=increasing, first=11751.0, last=56402.0, pct_change=379.98, peak=79069.0 @ 2009, trough=8029.0</t>
  </si>
  <si>
    <t>After that year, the number of people out of work slowly decreased, dropping nearly a third by 2020.</t>
  </si>
  <si>
    <t>date_range: min=2000 max=2020</t>
  </si>
  <si>
    <t>Even though unemployment has not returned to the lowest early 2000s levels, the trend since the peak has been downward.</t>
  </si>
  <si>
    <t>The bar chart here shows big differences between months.</t>
  </si>
  <si>
    <t>For instance, in 2019, April had over 19,000 people unemployed, while September had just over 3,000.</t>
  </si>
  <si>
    <t>trend[0-6 mán (skammtíma)].groups[September]: direction=increasing, first=505.0, last=1537.0, pct_change=204.36 | latest_period_comparison[0-6 mán (skammtíma)] September=1537.0 | trend[6-12 mán (langtíma)].groups[September]: direction=increasing, first=117.0, last=943.0, pct_change=705.98 | latest_period_comparison[6-12 mán (langtíma)] September=943.0 | trend[meira en ár (langtíma)].groups[September]: direction=increasing, first=180.0, last=650.0, pct_change=261.11 | latest_period_comparison[meira en ár (langtíma)] September=650.0 | trend[Alls, fjöldi atvinnulausra].groups[September]: direction=increasing, first=802.0, last=3130.0, pct_change=290.27 | latest_period_comparison[Alls, fjöldi atvinnulausra] September=3130.0</t>
  </si>
  <si>
    <t>That’s more than a fivefold difference.</t>
  </si>
  <si>
    <t>Such swings mean the challenges are not spread out evenly through the year.</t>
  </si>
  <si>
    <t>summary_stats[0-6 mán (skammtíma)]: mean=1610.89, min=306.0, max=16980.0, total=394668.0 | summary_stats[6-12 mán (langtíma)]: mean=590.0, min=50.0, max=3170.0, total=144550.0 | summary_stats[meira en ár (langtíma)]: mean=647.13, min=84.0, max=2346.0, total=158547.0 | summary_stats[Alls, fjöldi atvinnulausra]: mean=2848.02, min=482.0, max=19311.0, total=697765.0</t>
  </si>
  <si>
    <t>Most of the rise happened quickly around 2009, with a slower pace since.</t>
  </si>
  <si>
    <t>This means that while the shock was sharp, the effects have lasted.</t>
  </si>
  <si>
    <t>While fewer people are out of work now than during the worst years, joblessness is still high compared to the early 2000s.</t>
  </si>
  <si>
    <t>This ongoing challenge affects families and shapes life in the city.</t>
  </si>
  <si>
    <t>But the steady drop since the peak offers hope that recovery is possible.</t>
  </si>
  <si>
    <t>This data tracks the number of people unemployed in Reykjavík every month from 2000 to 2020, including how long they have been without work.</t>
  </si>
  <si>
    <t>It shows totals for short-term and long-term unemployment.</t>
  </si>
  <si>
    <t>The numbers are for the whole city and may not reflect every neighborhood.</t>
  </si>
  <si>
    <t>Recent years beyond 2020 are not included.</t>
  </si>
  <si>
    <t>Please note, we don't have full licence information for this data, so its use may be limited.</t>
  </si>
  <si>
    <t>run_08b</t>
  </si>
  <si>
    <t>Unemployment Fell Sharply After a 2009 Peak</t>
  </si>
  <si>
    <t>Unemployment is something many worry about, especially when the numbers start to climb.</t>
  </si>
  <si>
    <t>In Reykjavík, unemployment soared after 2008 but has come down noticeably since its peak in 2009.</t>
  </si>
  <si>
    <t>Even though the numbers are still higher than they were twenty years ago, the latest figures show a big drop from those crisis heights.</t>
  </si>
  <si>
    <t>latest_period_comparison[0-6 mán (skammtíma)] Apríl=16980.0 | latest_period_comparison[0-6 mán (skammtíma)] Desember=1789.0 | latest_period_comparison[0-6 mán (skammtíma)] Febrúar=2130.0 | latest_period_comparison[0-6 mán (skammtíma)] Janúar=2107.0 | latest_period_comparison[0-6 mán (skammtíma)] Júlí=1767.0 | latest_period_comparison[0-6 mán (skammtíma)] Júní=7046.0 | latest_period_comparison[0-6 mán (skammtíma)] Mars=3738.0 | latest_period_comparison[0-6 mán (skammtíma)] Maí=11029.0 | latest_period_comparison[0-6 mán (skammtíma)] Nóvember=1751.0 | latest_period_comparison[0-6 mán (skammtíma)] Október=1650.0</t>
  </si>
  <si>
    <t>29% — drop in total unemployment since 2009</t>
  </si>
  <si>
    <t>trend[0-6 mán (skammtíma)]: direction=increasing, first=7696.0, last=43030.0, pct_change=459.12, peak=50781.0 @ 2009, trough=5489.0 | trend[0-6 mán (skammtíma)].groups[Maí]: direction=increasing, first=730.0, last=11029.0, pct_change=1410.82 | latest_period_comparison[0-6 mán (skammtíma)] Maí=11029.0 | trend[6-12 mán (langtíma)]: direction=increasing, first=1793.0, last=6944.0, pct_change=287.28, peak=23052.0 @ 2009, trough=1136.0 | trend[Alls, fjöldi atvinnulausra]: direction=increasing, first=11751.0, last=56402.0, pct_change=379.98, peak=79069.0 @ 2009, trough=8029.0 | trend[Alls, fjöldi atvinnulausra].groups[September]: direction=increasing, first=802.0, last=3130.0, pct_change=290.27</t>
  </si>
  <si>
    <t>Unemployment numbers fell by nearly a third from their highest point in 2009 through to 2020.</t>
  </si>
  <si>
    <t>date_range: min=2000 max=2020 | trend[0-6 mán (skammtíma)]: direction=increasing, first=7696.0, last=43030.0, pct_change=459.12, peak=50781.0 @ 2009, trough=5489.0 | trend[6-12 mán (langtíma)]: direction=increasing, first=1793.0, last=6944.0, pct_change=287.28, peak=23052.0 @ 2009, trough=1136.0 | trend[Alls, fjöldi atvinnulausra]: direction=increasing, first=11751.0, last=56402.0, pct_change=379.98, peak=79069.0 @ 2009, trough=8029.0</t>
  </si>
  <si>
    <t>In the line chart below, you can see how unemployment rose steeply from 2007, reached a high in 2009, and then began to fall.</t>
  </si>
  <si>
    <t>The number of people looking for work in Reykjavík went from just over 8,000 in 2007 up to around 79,000 in 2009.</t>
  </si>
  <si>
    <t>Since then, it's dropped 29% to about 56,000 in 2020.</t>
  </si>
  <si>
    <t>date_range: min=2000 max=2020 | trend[0-6 mán (skammtíma)].groups[Maí]: direction=increasing, first=730.0, last=11029.0, pct_change=1410.82 | latest_period_comparison[0-6 mán (skammtíma)] Maí=11029.0 | trend[Alls, fjöldi atvinnulausra]: direction=increasing, first=11751.0, last=56402.0, pct_change=379.98, peak=79069.0 @ 2009, trough=8029.0 | trend[Alls, fjöldi atvinnulausra].groups[September]: direction=increasing, first=802.0, last=3130.0, pct_change=290.27</t>
  </si>
  <si>
    <t>The past five years have seen total unemployment stay above early 2000s levels but much lower than that peak.</t>
  </si>
  <si>
    <t>For example, April 2019 had far more people without work compared to months like September or December.</t>
  </si>
  <si>
    <t>In April, about 19,311 people were unemployed, while in September it was closer to 3,130.</t>
  </si>
  <si>
    <t>trend[Alls, fjöldi atvinnulausra].groups[Apríl]: direction=increasing, first=1276.0, last=19311.0, pct_change=1413.4 | trend[Alls, fjöldi atvinnulausra].groups[September]: direction=increasing, first=802.0, last=3130.0, pct_change=290.27 | latest_period_comparison[Alls, fjöldi atvinnulausra] Apríl=19311.0 | latest_period_comparison[Alls, fjöldi atvinnulausra] September=3130.0 | summary_stats[Alls, fjöldi atvinnulausra]: mean=2848.02, min=482.0, max=19311.0, total=697765.0</t>
  </si>
  <si>
    <t>This gap suggests seasonal effects, with some months always standing out with much higher numbers.</t>
  </si>
  <si>
    <t>This group has grown a lot over two decades, but its size has gone down since the 2009 peak, mirroring the bigger trend.</t>
  </si>
  <si>
    <t>Most people who are out of work are looking for a job for less than half a year, especially in these last years.</t>
  </si>
  <si>
    <t>trend[0-6 mán (skammtíma)]: direction=increasing, first=7696.0, last=43030.0, pct_change=459.12, peak=50781.0 @ 2009, trough=5489.0 | trend[0-6 mán (skammtíma)].groups[Apríl]: direction=increasing, first=800.0, last=16980.0, pct_change=2022.5 | trend[0-6 mán (skammtíma)].groups[Desember]: direction=increasing, first=616.0, last=1789.0, pct_change=190.42 | trend[0-6 mán (skammtíma)].groups[Febrúar]: direction=increasing, first=949.0, last=2130.0, pct_change=124.45 | trend[0-6 mán (skammtíma)].groups[Janúar]: direction=increasing, first=695.0, last=2107.0, pct_change=203.17 | trend[0-6 mán (skammtíma)].groups[Júlí]: direction=increasing, first=708.0, last=1767.0, pct_change=149.58 | trend[0-6 mán (skammtíma)].groups[Júní]: direction=increasing, first=727.0, last=7046.0, pct_change=869.19 | trend[0-6 mán (skammtíma)].groups[Mars]: direction=increasing, first=906.0, last=3738.0, pct_change=312.58 | trend[0-6 mán (skammtíma)].groups[Maí]: direction=increasing, first=730.0, last=11029.0, pct_change=1410.82 | trend[0-6 mán (skammtíma)].groups[Nóvember]: direction=increasing, first=591.0, last=1751.0, pct_change=196.28</t>
  </si>
  <si>
    <t>For most people in Reykjavík, the job market feels steadier now than it did after the big spike in 2009.</t>
  </si>
  <si>
    <t>While unemployment is still higher than it was in the early 2000s, the numbers have moved in the right direction overall.</t>
  </si>
  <si>
    <t>This means a better outlook for those entering the job market or worried about finding work.</t>
  </si>
  <si>
    <t>The numbers cover every month from 2000 to 2020, showing not only overall unemployment but also how long people were out of work.</t>
  </si>
  <si>
    <t>The data includes year-to-year changes and differences between months, but does not go past 2020.</t>
  </si>
  <si>
    <t>Your own neighborhood or industry may look different.</t>
  </si>
  <si>
    <t>We do not have complete licence information for this data, but it comes from the city's official sources.</t>
  </si>
  <si>
    <t>run_09a</t>
  </si>
  <si>
    <t>Which district has the most foreign citizens?</t>
  </si>
  <si>
    <t>Number of Foreign Citizens in Reykjavík Has Soared Since 1998</t>
  </si>
  <si>
    <t>date_range: min=1998 max=2019</t>
  </si>
  <si>
    <t>Reykjavík’s neighborhoods are more international than ever.</t>
  </si>
  <si>
    <t>trend[Erlendir ríkisborgarar].groups[Óstaðsettir í Reykjavík]: direction=increasing, first=17.0, last=461.0, pct_change=2611.76 | latest_period_comparison[Erlendir ríkisborgarar] Óstaðsettir í Reykjavík=461.0 | trend[Mannfjöldi alls í hverfi].groups[Óstaðsettir í Reykjavík]: direction=increasing, first=384.0, last=879.0, pct_change=128.91 | latest_period_comparison[Mannfjöldi alls í hverfi] Óstaðsettir í Reykjavík=879.0 | trend[Hlutfall erlendra ríkisborgara].groups[Óstaðsettir í Reykjavík]: direction=increasing, first=0.044, last=0.524, pct_change=1090.91 | latest_period_comparison[Hlutfall erlendra ríkisborgara] Óstaðsettir í Reykjavík=0.524</t>
  </si>
  <si>
    <t>Over the last two decades, the number of foreign citizens living in the city jumped from just over 3,100 to nearly 24,000.</t>
  </si>
  <si>
    <t>trend[Erlendir ríkisborgarar]: direction=increasing, first=3106.0, last=23993.0, pct_change=672.47, peak=23993.0 @ 2019, trough=3106.0 | trend[Erlendir ríkisborgarar].groups[Austurbær]: direction=increasing, first=487.0, last=2223.0, pct_change=356.47 | trend[Erlendir ríkisborgarar].groups[Borgarhverfi]: direction=increasing, first=15.0, last=116.0, pct_change=673.33 | trend[Erlendir ríkisborgarar].groups[Breiðholt - Bakkar]: direction=increasing, first=78.0, last=1164.0, pct_change=1392.31 | trend[Erlendir ríkisborgarar].groups[Bústaðahverfi]: direction=increasing, first=161.0, last=980.0, pct_change=508.7 | trend[Erlendir ríkisborgarar].groups[Efra - Breiðholt]: direction=increasing, first=285.0, last=3222.0, pct_change=1030.53 | trend[Erlendir ríkisborgarar].groups[Engjahverfi]: direction=increasing, first=31.0, last=193.0, pct_change=522.58 | trend[Erlendir ríkisborgarar].groups[Foldahverfi]: direction=increasing, first=68.0, last=288.0, pct_change=323.53 | trend[Erlendir ríkisborgarar].groups[Fossvogur]: direction=increasing, first=72.0, last=289.0, pct_change=301.39 | trend[Erlendir ríkisborgarar].groups[Gamli Vesturbærinn]: direction=increasing, first=287.0, last=1723.0, pct_change=500.35</t>
  </si>
  <si>
    <t>That’s a rise that touches every corner of the city, with some districts seeing especially dramatic growth.</t>
  </si>
  <si>
    <t>3,222 — foreign citizens in Efra - Breiðholt (2019)</t>
  </si>
  <si>
    <t>date_range: min=1998 max=2019 | trend[Erlendir ríkisborgarar]: direction=increasing, first=3106.0, last=23993.0, pct_change=672.47, peak=23993.0 @ 2019, trough=3106.0 | trend[Erlendir ríkisborgarar].groups[Efra - Breiðholt]: direction=increasing, first=285.0, last=3222.0, pct_change=1030.53 | latest_period_comparison[Erlendir ríkisborgarar] Efra - Breiðholt=3222.0 | trend[Mannfjöldi alls í hverfi]: direction=increasing, first=106753.0, last=128793.0, pct_change=20.65, peak=128793.0 @ 2019, trough=106753.0 | trend[Hlutfall erlendra ríkisborgara]: direction=increasing, first=0.029, last=0.186, pct_change=541.38, peak=0.186 @ 2019, trough=0.029</t>
  </si>
  <si>
    <t>In 2019, Efra - Breiðholt had more foreign citizens than any other neighborhood in Reykjavík.</t>
  </si>
  <si>
    <t>date_range: min=1998 max=2019 | trend[Erlendir ríkisborgarar]: direction=increasing, first=3106.0, last=23993.0, pct_change=672.47, peak=23993.0 @ 2019, trough=3106.0 | trend[Mannfjöldi alls í hverfi]: direction=increasing, first=106753.0, last=128793.0, pct_change=20.65, peak=128793.0 @ 2019, trough=106753.0 | trend[Hlutfall erlendra ríkisborgara]: direction=increasing, first=0.029, last=0.186, pct_change=541.38, peak=0.186 @ 2019, trough=0.029</t>
  </si>
  <si>
    <t>In the chart below, you can see how the number of foreign citizens in Reykjavík has risen year by year.</t>
  </si>
  <si>
    <t>The line climbs steadily, showing that today’s city is much more diverse than it was in the late 1990s.</t>
  </si>
  <si>
    <t>latest_period_comparison[Erlendir ríkisborgarar] Austurbær=2223.0 | latest_period_comparison[Erlendir ríkisborgarar] Borgarhverfi=116.0 | latest_period_comparison[Erlendir ríkisborgarar] Breiðholt - Bakkar=1164.0 | latest_period_comparison[Erlendir ríkisborgarar] Bústaðahverfi=980.0 | latest_period_comparison[Erlendir ríkisborgarar] Efra - Breiðholt=3222.0 | latest_period_comparison[Erlendir ríkisborgarar] Engjahverfi=193.0 | latest_period_comparison[Erlendir ríkisborgarar] Foldahverfi=288.0 | latest_period_comparison[Erlendir ríkisborgarar] Fossvogur=289.0 | latest_period_comparison[Erlendir ríkisborgarar] Gamli Vesturbærinn=1723.0 | latest_period_comparison[Erlendir ríkisborgarar] Grafarholt-eystra=292.0</t>
  </si>
  <si>
    <t>In 1998, there were just over 3,100 foreign citizens.</t>
  </si>
  <si>
    <t>By 2019, that number had soared to almost 24,000—an increase of over eight times.</t>
  </si>
  <si>
    <t>Efra - Breiðholt stands out as the area with by far the most foreign citizens—3,222 in 2019, well ahead of other districts.</t>
  </si>
  <si>
    <t>Nearby neighborhoods like Breiðholt - Bakkar and Gamli Vesturbærinn also have high numbers but fall far behind Efra - Breiðholt.</t>
  </si>
  <si>
    <t>trend[Erlendir ríkisborgarar].groups[Breiðholt - Bakkar]: direction=increasing, first=78.0, last=1164.0, pct_change=1392.31 | trend[Erlendir ríkisborgarar].groups[Efra - Breiðholt]: direction=increasing, first=285.0, last=3222.0, pct_change=1030.53 | trend[Erlendir ríkisborgarar].groups[Gamli Vesturbærinn]: direction=increasing, first=287.0, last=1723.0, pct_change=500.35 | latest_period_comparison[Erlendir ríkisborgarar] Breiðholt - Bakkar=1164.0 | latest_period_comparison[Erlendir ríkisborgarar] Efra - Breiðholt=3222.0 | latest_period_comparison[Erlendir ríkisborgarar] Gamli Vesturbærinn=1723.0 | trend[Mannfjöldi alls í hverfi].groups[Breiðholt - Bakkar]: direction=increasing, first=4032.0, last=4059.0, pct_change=0.67 | trend[Mannfjöldi alls í hverfi].groups[Efra - Breiðholt]: direction=decreasing, first=9533.0, last=9284.0, pct_change=-2.61 | trend[Mannfjöldi alls í hverfi].groups[Gamli Vesturbærinn]: direction=increasing, first=5861.0, last=6412.0, pct_change=9.4 | latest_period_comparison[Mannfjöldi alls í hverfi] Breiðholt - Bakkar=4059.0</t>
  </si>
  <si>
    <t>This big gap shows that some residents share streets with many newcomers, while others live in areas with fewer foreign-born neighbors.</t>
  </si>
  <si>
    <t>The percentage has risen sharply, from about 3% in 1998 to nearly 19% by 2019.</t>
  </si>
  <si>
    <t>date_range: min=1998 max=2019 | trend[Erlendir ríkisborgarar]: direction=increasing, first=3106.0, last=23993.0, pct_change=672.47, peak=23993.0 @ 2019, trough=3106.0 | trend[Erlendir ríkisborgarar].groups[Austurbær]: direction=increasing, first=487.0, last=2223.0, pct_change=356.47 | trend[Erlendir ríkisborgarar].groups[Borgarhverfi]: direction=increasing, first=15.0, last=116.0, pct_change=673.33 | trend[Erlendir ríkisborgarar].groups[Breiðholt - Bakkar]: direction=increasing, first=78.0, last=1164.0, pct_change=1392.31 | trend[Erlendir ríkisborgarar].groups[Efra - Breiðholt]: direction=increasing, first=285.0, last=3222.0, pct_change=1030.53 | trend[Erlendir ríkisborgarar].groups[Engjahverfi]: direction=increasing, first=31.0, last=193.0, pct_change=522.58 | trend[Erlendir ríkisborgarar].groups[Foldahverfi]: direction=increasing, first=68.0, last=288.0, pct_change=323.53 | trend[Erlendir ríkisborgarar].groups[Fossvogur]: direction=increasing, first=72.0, last=289.0, pct_change=301.39 | trend[Erlendir ríkisborgarar].groups[Gamli Vesturbærinn]: direction=increasing, first=287.0, last=1723.0, pct_change=500.35 | trend[Erlendir ríkisborgarar].groups[Grafarholt-vestra]: direction=increasing, first=5.0, last=121.0, pct_change=2320.0 | trend[Erlendir ríkisborgarar].groups[Hamrahverfi]: direction=increasing, first=31.0, last=346.0, pct_change=1016.13 | …</t>
  </si>
  <si>
    <t>That means almost one in five Reykjavík residents was a foreign citizen by the end of the period.</t>
  </si>
  <si>
    <t>total_periods: 22 | trend[Erlendir ríkisborgarar].groups[Óstaðsettir í Reykjavík]: direction=increasing, first=17.0, last=461.0, pct_change=2611.76 | latest_period_comparison[Erlendir ríkisborgarar] Austurbær=2223.0 | latest_period_comparison[Erlendir ríkisborgarar] Borgarhverfi=116.0 | latest_period_comparison[Erlendir ríkisborgarar] Breiðholt - Bakkar=1164.0 | latest_period_comparison[Erlendir ríkisborgarar] Bústaðahverfi=980.0 | latest_period_comparison[Erlendir ríkisborgarar] Efra - Breiðholt=3222.0 | latest_period_comparison[Erlendir ríkisborgarar] Engjahverfi=193.0 | latest_period_comparison[Erlendir ríkisborgarar] Foldahverfi=288.0 | latest_period_comparison[Erlendir ríkisborgarar] Fossvogur=289.0</t>
  </si>
  <si>
    <t>Walking through Reykjavík today, you’re much more likely to hear languages and see faces from all over the world.</t>
  </si>
  <si>
    <t>Some districts have become real hubs for international communities.</t>
  </si>
  <si>
    <t>This change brings new perspectives, cultures, and connections to the everyday life of the city.</t>
  </si>
  <si>
    <t>These numbers come from Iceland's official statistics for 1998 through 2019, so they show changes over twenty years but do not include more recent years.</t>
  </si>
  <si>
    <t>The data reflects foreign citizen numbers and population for all Reykjavík neighborhoods.</t>
  </si>
  <si>
    <t>Licence information was not listed by the data provider, so if you plan to reuse these numbers, please check the city portal for details.</t>
  </si>
  <si>
    <t>run_09b</t>
  </si>
  <si>
    <t>Most Residents Still Feel Safe, But the Feeling Has Slipped</t>
  </si>
  <si>
    <t>Safety in your own neighborhood is something everyone cares about.</t>
  </si>
  <si>
    <t>Over the last few years, a small but steady drop has taken place: the share of people feeling safe at home fell from 92% in 2016 to 91% in 2018.</t>
  </si>
  <si>
    <t>date_range: min=2016 max=2018 | trend[Upplifa sig örugg í eigin hverfi]: direction=decreasing, first=0.923, last=0.909, pct_change=-1.52, peak=0.923 @ 2016, trough=0.909 | summary_stats[Upplifa sig örugg í eigin hverfi]: mean=0.92, min=0.909, max=0.923, total=2.7510000000000003</t>
  </si>
  <si>
    <t>91% — feel safe in their own neighborhood</t>
  </si>
  <si>
    <t>This is down just a little from 92% two years before.</t>
  </si>
  <si>
    <t>trend[Upplifa sig örugg í eigin hverfi]: direction=decreasing, first=0.923, last=0.909, pct_change=-1.52, peak=0.923 @ 2016, trough=0.909 | summary_stats[Upplifa sig örugg í eigin hverfi]: mean=0.92, min=0.909, max=0.923, total=2.7510000000000003</t>
  </si>
  <si>
    <t>It shows how the number of residents who feel safe in their own neighborhood has slipped just a bit year by year.</t>
  </si>
  <si>
    <t>While 92% felt safe in 2016, that's fallen to 91% by 2018.</t>
  </si>
  <si>
    <t>The line chart below shows the downward trend very clearly—from 92% in 2016 to just over 91% in 2018.</t>
  </si>
  <si>
    <t>There are no large jumps, just a small decrease each year.</t>
  </si>
  <si>
    <t>Even so, a large majority still report feeling safe.</t>
  </si>
  <si>
    <t>Almost everyone wants to feel at ease where they live.</t>
  </si>
  <si>
    <t>Although most people still do, this slight decline is a reminder to keep community safety in focus.</t>
  </si>
  <si>
    <t>Feeling safe shapes our neighborhoods and our everyday choices.</t>
  </si>
  <si>
    <t>These numbers show how safe people said they felt in their own neighborhood across the capital area from 2016 to 2018.</t>
  </si>
  <si>
    <t>date_range: min=2016 max=2018 | trend[Upplifa sig örugg í eigin hverfi]: direction=decreasing, first=0.923, last=0.909, pct_change=-1.52, peak=0.923 @ 2016, trough=0.909</t>
  </si>
  <si>
    <t>The changes are small but steady.</t>
  </si>
  <si>
    <t>The numbers combine everyone living in the area, not by neighborhood or age group.</t>
  </si>
  <si>
    <t>The data comes from the police annual report.</t>
  </si>
  <si>
    <t>Licence details were not available from the city, so please keep that in mind.</t>
  </si>
  <si>
    <t>run_10a</t>
  </si>
  <si>
    <t>Compare population by age and gender</t>
  </si>
  <si>
    <t>run_10b</t>
  </si>
  <si>
    <t>Run #</t>
  </si>
  <si>
    <t>Schema Valid?</t>
  </si>
  <si>
    <t>Retries Needed</t>
  </si>
  <si>
    <t>Total Claims</t>
  </si>
  <si>
    <t>Inaccurate</t>
  </si>
  <si>
    <t>Fabricated</t>
  </si>
  <si>
    <t>Accuracy Rate</t>
  </si>
  <si>
    <t>Hallucination Free?</t>
  </si>
  <si>
    <t>Hedging Compliant?</t>
  </si>
  <si>
    <t>Generation Time (s)</t>
  </si>
  <si>
    <t>HTTP 200 with preview/fallback package (no LLM narrative). Generation time left blank so averages reflect successful LLM runs only.</t>
  </si>
  <si>
    <t>Dataset Selected</t>
  </si>
  <si>
    <t>Ingestion OK?</t>
  </si>
  <si>
    <t>Profiling OK?</t>
  </si>
  <si>
    <t>Template Matched?</t>
  </si>
  <si>
    <t>Analytics OK?</t>
  </si>
  <si>
    <t>Narrative Generated?</t>
  </si>
  <si>
    <t>Pipeline Fully Successful?</t>
  </si>
  <si>
    <t>Failure Point</t>
  </si>
  <si>
    <t>Sorphirða heimila í Reykjavík (sorphirda_heimila_i_reykjavik)</t>
  </si>
  <si>
    <t>Yes</t>
  </si>
  <si>
    <t>Einstæðir foreldrar í Reykjavík og börn þeirra eftir hverfum og aldri barna (einstaedir_foreldrar_i_reykjavik_og_born_theirra_eftir_hverfum_og_aldri)</t>
  </si>
  <si>
    <t>Leikskólar í Reykjavík (leikskolar)</t>
  </si>
  <si>
    <t>Loftmengun í Reykjavík, mælingar frá Grensásvegi (loftmengun_i_reykjavik_maelingar_fra_grensasvegi)</t>
  </si>
  <si>
    <t>Mannfjöldi í Reykjavík eftir hverfum, kyni og aldri (mannfjoldi_i_reykjavik_eftir_hverfum_kyni_og_aldri)</t>
  </si>
  <si>
    <t>No</t>
  </si>
  <si>
    <t>LLM narrative not produced (preview / template analysis only)</t>
  </si>
  <si>
    <t>Sjóðstreymi (sjodstreymi)</t>
  </si>
  <si>
    <t>Umferðarslys og árekstrar í Reykjavík (umferdarslys_og_arekstrar_i_reykjavik)</t>
  </si>
  <si>
    <t>Þjóðerni og fjöldi farþega skemmtiferðaskipa sem fara um hafnir Faxaflóahafna (thjoderni_og_fjoldi_farthega_skemmtiferdaskipa_sem_fara_um_hafnir_faxafloahafna)</t>
  </si>
  <si>
    <t>Atvinnuleysi í Reykjavík eftir mánuðum og lengd atvinnuleysis (atvinnuleysi_i_reykjavik_eftir_manudum_og_lengd_atvinnuleysis)</t>
  </si>
  <si>
    <t>Erlendir ríkisborgarar í Reykjaví­k eftir hverfum (erlendir_rikisborgarar_i_reykjavik_eftir_hverfum)</t>
  </si>
  <si>
    <t>Upplifað öryggi (upplifad_oryggi)</t>
  </si>
  <si>
    <t>Metric</t>
  </si>
  <si>
    <t>Value</t>
  </si>
  <si>
    <t>NARRATIVE ACCURACY</t>
  </si>
  <si>
    <t>Total narratives evaluated</t>
  </si>
  <si>
    <t>Total claims audited</t>
  </si>
  <si>
    <t>Numerical claims accurate</t>
  </si>
  <si>
    <t>Directional claims accurate</t>
  </si>
  <si>
    <t>Entity claims accurate</t>
  </si>
  <si>
    <t>Narratives with zero fabrications</t>
  </si>
  <si>
    <t>Overall claim accuracy rate</t>
  </si>
  <si>
    <t>Hedging compliance rate</t>
  </si>
  <si>
    <t>STRUCTURAL VALIDITY</t>
  </si>
  <si>
    <t>Schema valid on first attempt</t>
  </si>
  <si>
    <t>Schema valid after retry</t>
  </si>
  <si>
    <t>Average retries needed</t>
  </si>
  <si>
    <t>PIPELINE SUCCESS</t>
  </si>
  <si>
    <t>Total queries tested</t>
  </si>
  <si>
    <t>Successful ingestions</t>
  </si>
  <si>
    <t>Successful template matches</t>
  </si>
  <si>
    <t>Successful analytics runs</t>
  </si>
  <si>
    <t>Successful chart generations</t>
  </si>
  <si>
    <t>Full pipeline success rate</t>
  </si>
  <si>
    <t>CONSISTENCY</t>
  </si>
  <si>
    <t>Queries run twice</t>
  </si>
  <si>
    <t>total_periods: 15, pct_change = 34.96</t>
  </si>
  <si>
    <t>pct_change=34.96</t>
  </si>
  <si>
    <t>First part is a generalization, could be categorized as fabrication</t>
  </si>
  <si>
    <t>date_range: min=1998 max=2012, first=266.0, last=173.0, pct_change=-34.96, peak=273.0</t>
  </si>
  <si>
    <t>No match</t>
  </si>
  <si>
    <t>date_range: min=1998 max=2012, first=47200.0, last=37311.0,</t>
  </si>
  <si>
    <t>Interpretation</t>
  </si>
  <si>
    <t>Correct hedging language, good interpretation</t>
  </si>
  <si>
    <t>Data note</t>
  </si>
  <si>
    <t>date_range: min=1998 max=2012, no licence found</t>
  </si>
  <si>
    <t xml:space="preserve">date_range: min=1998 max=2012, , trough=37288.0 </t>
  </si>
  <si>
    <t>Chart spec and description</t>
  </si>
  <si>
    <t>measure_columns = ["Fjöldi sorpíláta", "Kíló á íbúa"]</t>
  </si>
  <si>
    <t>dataset metadata</t>
  </si>
  <si>
    <t>Fjöldi barna 0-2 ára is decreasing (-15.6% change from 4212.0 to 3555.0)</t>
  </si>
  <si>
    <t>Key findings
Fjöldi barna 3-5 ára is decreasing (-4.5% change from 4449.0 to 4251.0)
Fjöldi barna 3-5 ára peak: 4689.0 at 2004
Fjöldi foreldra is decreasing (-2.1% change from 16563.0 to 16215.0)
Fjöldi foreldra peak: 16905.0 at 2004
Fjöldi barna, alls is decreasing (-3.9% change from 24483.0 to 23538.0)
Fjöldi barna, alls peak: 25092.0 at 2004
Fjöldi barna 0-2 ára is decreasing (-15.6% change from 4212.0 to 3555.0)
Fjöldi barna 0-2 ára peaked at 4212.0 (2002) then dropped 16% to 3555.0
Fjöldi barna 6 ára is increasing (+1.7% change from 1398.0 to 1422.0)
Fjöldi barna 6 ára peak: 1509.0 at 2005
Fjöldi barna 7-12 ára is decreasing (-12.5% change from 8493.0 to 7434.0)
Fjöldi barna 7-12 ára peak: 8493.0 at 2002
Fjöldi barna 13-16 ára is increasing (+16.7% change from 4653.0 to 5430.0)
Fjöldi barna 13-16 ára peak: 5769.0 at 2006
Fjöldi barna 17 ára is increasing (+13.2% change from 1278.0 to 1446.0)
Fjöldi barna 17 ára peak: 1554.0 at 2011
Data covers 2002 to 2014 (13 periods)
pm2_5 exceeded WHO guideline (5 µg/m³) in 90.7% of readings</t>
  </si>
  <si>
    <t>Correct hedging language</t>
  </si>
  <si>
    <t>No licence found</t>
  </si>
  <si>
    <t>Highest fjoldi_barna: 12 - 17 mánaða (25)</t>
  </si>
  <si>
    <t>Lowest fjoldi_barna: 18 - 23 mánaða (1)</t>
  </si>
  <si>
    <t>Not wrong but doesn’t really make sense</t>
  </si>
  <si>
    <t>Key findings
Styrkur í (µg/ m3) is decreasing (-74.6% change from 134.0 to 34.0)
Styrkur í (µg/ m3) peaked at 134.0 (1994) then dropped 75% to 34.0</t>
  </si>
  <si>
    <t>Problem is in the analysis</t>
  </si>
  <si>
    <t>Great observation</t>
  </si>
  <si>
    <t>Not really substantiated</t>
  </si>
  <si>
    <t>Not substantiated</t>
  </si>
  <si>
    <t>Styrkur í (µg/ m3) is decreasing (-74.6% change from 134.0 to 34.0)
Styrkur í (µg/ m3) peaked at 134.0 (1994) then dropped 75% to 34.0</t>
  </si>
  <si>
    <t>date_range: min=1994 max=2016 | trend[Styrkur í (µg/ m3)]: direction=decreasing, first=134.0, last=34.0, pct_change=-74.63, peak=134.0 @ 1994, trough=34.0, dataset metadata</t>
  </si>
  <si>
    <t>Assumption/generalization but not wrong</t>
  </si>
  <si>
    <t>Not corrrect hedging language</t>
  </si>
  <si>
    <t xml:space="preserve">Some assumptions made about buildings and roads </t>
  </si>
  <si>
    <t>Fjöldi slasaðra á 1.000 ökutæki is decreasing (-65.4% change from 7.8 to 2.7)
Fjöldi slasaðra á 1.000 ökutæki peaked at 7.8 (2000) then dropped 65% to 2.7</t>
  </si>
  <si>
    <t>total_periods: 20, "Þar af banaslys": {
    "first": 3.0,
    "last": 0.0,
    "pct_change": -100.0,
    "direction": "decreasing",
    "peak": 3.0,
    "peak_period": "2000",
    "trough": 0.0,
    "trough_period": "2002",
    "shape": "rise_then_fall",
    "drop_from_peak_pct": 100.0,
    "drop_from_peak": 3.0}</t>
  </si>
  <si>
    <t>Summar stats</t>
  </si>
  <si>
    <t>international meeting point?</t>
  </si>
  <si>
    <t>date_range: min=2002 max=2019 |dataset metadata</t>
  </si>
  <si>
    <t>},
  "Austurríki": {
    "mean": 735.09,
    "min": 253.0,
    "max": 1389.0,
    "total": 8086.0,
    "std": 364.58</t>
  </si>
  <si>
    <t>trough=1078.0 | trend[Alls, fjöldi atvinnulausra]: direction=increasing, first=11751.0, last=56402.0, pct_change=379.98, peak=79069.0 @ 2009, trough=8029.0</t>
  </si>
  <si>
    <t>Erlendir ríkisborgarar is increasing (+672.5% change from 3106.0 to 23993.0)
Erlendir ríkisborgarar peak: 23993.0 at 2019</t>
  </si>
  <si>
    <t>Error due to insufficient/incorrect analytics input</t>
  </si>
  <si>
    <t>Soft hallucation</t>
  </si>
  <si>
    <t xml:space="preserve">Expected template type </t>
  </si>
  <si>
    <t>Correct template?</t>
  </si>
  <si>
    <t>Charts Generated?</t>
  </si>
  <si>
    <t>Chart Types Appropriate?</t>
  </si>
  <si>
    <t>Correct dataset?</t>
  </si>
  <si>
    <t>demographic</t>
  </si>
  <si>
    <t>budget</t>
  </si>
  <si>
    <t xml:space="preserve"> </t>
  </si>
  <si>
    <t>heatmap had error</t>
  </si>
  <si>
    <t>wrong template</t>
  </si>
  <si>
    <t>All Charts rendered?</t>
  </si>
  <si>
    <t>plotting incompatible things together</t>
  </si>
  <si>
    <t>No retries</t>
  </si>
  <si>
    <t>Queries with consistent main finding</t>
  </si>
  <si>
    <t>Queries with consistent trend direction</t>
  </si>
  <si>
    <t>all of them</t>
  </si>
  <si>
    <t>Interpretation claims accurate</t>
  </si>
  <si>
    <t>all fabrications 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</si>
</sst>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0"/>
      <color rgb="FFFFFFFF"/>
      <name val="Arial"/>
      <family val="2"/>
    </font>
    <font>
      <sz val="9"/>
      <color rgb="FF666666"/>
      <name val="Arial"/>
      <family val="2"/>
    </font>
    <font>
      <sz val="10"/>
      <name val="Arial"/>
      <family val="2"/>
    </font>
    <font>
      <b/>
      <sz val="10"/>
      <color rgb="FF1A3A5C"/>
      <name val="Arial"/>
      <family val="2"/>
    </font>
    <font>
      <b/>
      <sz val="10"/>
      <name val="Arial"/>
      <family val="2"/>
    </font>
    <font>
      <sz val="11"/>
      <color theme="1"/>
      <name val="Calibri"/>
      <family val="2"/>
      <scheme val="minor"/>
    </font>
    <font>
      <sz val="11"/>
      <color theme="1"/>
      <name val="Calibri"/>
      <family val="2"/>
    </font>
    <font>
      <sz val="11"/>
      <color rgb="FF1A1D24"/>
      <name val="Arial"/>
      <family val="2"/>
    </font>
  </fonts>
  <fills count="4">
    <fill>
      <patternFill patternType="none"/>
    </fill>
    <fill>
      <patternFill patternType="gray125"/>
    </fill>
    <fill>
      <patternFill patternType="solid">
        <fgColor rgb="FF2E75B6"/>
      </patternFill>
    </fill>
    <fill>
      <patternFill patternType="solid">
        <fgColor rgb="FFD6E4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9" fontId="6" fillId="0" borderId="0" applyFont="0" applyFill="0" applyBorder="0" applyAlignment="0" applyProtection="0"/>
  </cellStyleXfs>
  <cellXfs count="18">
    <xf numFmtId="0" fontId="0" fillId="0" borderId="0" xfId="0"/>
    <xf numFmtId="0" fontId="5" fillId="0" borderId="0" xfId="0" applyFont="1"/>
    <xf numFmtId="0" fontId="3" fillId="0" borderId="0" xfId="0" applyFont="1"/>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xf numFmtId="0" fontId="4" fillId="3" borderId="1" xfId="0" applyFont="1" applyFill="1" applyBorder="1"/>
    <xf numFmtId="0" fontId="0" fillId="3" borderId="1" xfId="0" applyFill="1" applyBorder="1"/>
    <xf numFmtId="0" fontId="3" fillId="0" borderId="1" xfId="0" applyFont="1" applyBorder="1"/>
    <xf numFmtId="0" fontId="0" fillId="0" borderId="1" xfId="0" applyBorder="1"/>
    <xf numFmtId="0" fontId="0" fillId="0" borderId="0" xfId="0" applyAlignment="1">
      <alignment wrapText="1"/>
    </xf>
    <xf numFmtId="0" fontId="3" fillId="0" borderId="0" xfId="0" applyFont="1" applyAlignment="1">
      <alignment vertical="top" wrapText="1"/>
    </xf>
    <xf numFmtId="0" fontId="8" fillId="0" borderId="0" xfId="0" applyFont="1"/>
    <xf numFmtId="0" fontId="0" fillId="0" borderId="0" xfId="0" applyFont="1"/>
    <xf numFmtId="0" fontId="7" fillId="0" borderId="0" xfId="0" applyFont="1"/>
    <xf numFmtId="9" fontId="3" fillId="0" borderId="1" xfId="1" applyFont="1" applyBorder="1"/>
    <xf numFmtId="10" fontId="3" fillId="0" borderId="1" xfId="1" applyNumberFormat="1" applyFont="1" applyBorder="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heetViews>
  <sheetFormatPr baseColWidth="10" defaultColWidth="8.83203125" defaultRowHeight="15" x14ac:dyDescent="0.2"/>
  <cols>
    <col min="1" max="1" width="90" customWidth="1"/>
  </cols>
  <sheetData>
    <row r="1" spans="1:1" x14ac:dyDescent="0.2">
      <c r="A1" s="1" t="s">
        <v>0</v>
      </c>
    </row>
    <row r="2" spans="1:1" x14ac:dyDescent="0.2">
      <c r="A2" s="2"/>
    </row>
    <row r="3" spans="1:1" x14ac:dyDescent="0.2">
      <c r="A3" s="1" t="s">
        <v>1</v>
      </c>
    </row>
    <row r="4" spans="1:1" x14ac:dyDescent="0.2">
      <c r="A4" s="2"/>
    </row>
    <row r="5" spans="1:1" x14ac:dyDescent="0.2">
      <c r="A5" s="2" t="s">
        <v>2</v>
      </c>
    </row>
    <row r="6" spans="1:1" x14ac:dyDescent="0.2">
      <c r="A6" s="2" t="s">
        <v>3</v>
      </c>
    </row>
    <row r="7" spans="1:1" x14ac:dyDescent="0.2">
      <c r="A7" s="2" t="s">
        <v>4</v>
      </c>
    </row>
    <row r="8" spans="1:1" x14ac:dyDescent="0.2">
      <c r="A8" s="2" t="s">
        <v>5</v>
      </c>
    </row>
    <row r="9" spans="1:1" x14ac:dyDescent="0.2">
      <c r="A9" s="2" t="s">
        <v>6</v>
      </c>
    </row>
    <row r="10" spans="1:1" x14ac:dyDescent="0.2">
      <c r="A10" s="2" t="s">
        <v>7</v>
      </c>
    </row>
    <row r="11" spans="1:1" x14ac:dyDescent="0.2">
      <c r="A11" s="2"/>
    </row>
    <row r="12" spans="1:1" x14ac:dyDescent="0.2">
      <c r="A12" s="2" t="s">
        <v>8</v>
      </c>
    </row>
    <row r="13" spans="1:1" x14ac:dyDescent="0.2">
      <c r="A13" s="2" t="s">
        <v>9</v>
      </c>
    </row>
    <row r="14" spans="1:1" x14ac:dyDescent="0.2">
      <c r="A14" s="2" t="s">
        <v>10</v>
      </c>
    </row>
    <row r="15" spans="1:1" x14ac:dyDescent="0.2">
      <c r="A15" s="2"/>
    </row>
    <row r="16" spans="1:1" x14ac:dyDescent="0.2">
      <c r="A16" s="2" t="s">
        <v>11</v>
      </c>
    </row>
    <row r="17" spans="1:1" x14ac:dyDescent="0.2">
      <c r="A17" s="2" t="s">
        <v>12</v>
      </c>
    </row>
    <row r="18" spans="1:1" x14ac:dyDescent="0.2">
      <c r="A18" s="2" t="s">
        <v>13</v>
      </c>
    </row>
    <row r="19" spans="1:1" x14ac:dyDescent="0.2">
      <c r="A19" s="2"/>
    </row>
    <row r="20" spans="1:1" x14ac:dyDescent="0.2">
      <c r="A20" s="2" t="s">
        <v>14</v>
      </c>
    </row>
    <row r="21" spans="1:1" x14ac:dyDescent="0.2">
      <c r="A21" s="2"/>
    </row>
    <row r="22" spans="1:1" x14ac:dyDescent="0.2">
      <c r="A22" s="1" t="s">
        <v>15</v>
      </c>
    </row>
    <row r="23" spans="1:1" x14ac:dyDescent="0.2">
      <c r="A23" s="2" t="s">
        <v>16</v>
      </c>
    </row>
    <row r="24" spans="1:1" x14ac:dyDescent="0.2">
      <c r="A24" s="2" t="s">
        <v>17</v>
      </c>
    </row>
    <row r="25" spans="1:1" x14ac:dyDescent="0.2">
      <c r="A25" s="2" t="s">
        <v>18</v>
      </c>
    </row>
    <row r="26" spans="1:1" x14ac:dyDescent="0.2">
      <c r="A26" s="2" t="s">
        <v>19</v>
      </c>
    </row>
    <row r="27" spans="1:1" x14ac:dyDescent="0.2">
      <c r="A27" s="2" t="s">
        <v>20</v>
      </c>
    </row>
    <row r="28" spans="1:1" x14ac:dyDescent="0.2">
      <c r="A28" s="2" t="s">
        <v>21</v>
      </c>
    </row>
    <row r="29" spans="1:1" x14ac:dyDescent="0.2">
      <c r="A29" s="2" t="s">
        <v>22</v>
      </c>
    </row>
    <row r="30" spans="1:1" x14ac:dyDescent="0.2">
      <c r="A30"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338"/>
  <sheetViews>
    <sheetView topLeftCell="C1" workbookViewId="0">
      <pane ySplit="1" topLeftCell="A22" activePane="bottomLeft" state="frozen"/>
      <selection pane="bottomLeft" activeCell="G342" sqref="G342"/>
    </sheetView>
  </sheetViews>
  <sheetFormatPr baseColWidth="10" defaultColWidth="8.83203125" defaultRowHeight="15" x14ac:dyDescent="0.2"/>
  <cols>
    <col min="1" max="1" width="10" customWidth="1"/>
    <col min="2" max="2" width="29.6640625" customWidth="1"/>
    <col min="3" max="3" width="14" customWidth="1"/>
    <col min="4" max="4" width="9" customWidth="1"/>
    <col min="5" max="5" width="40" style="11" customWidth="1"/>
    <col min="6" max="6" width="14" customWidth="1"/>
    <col min="7" max="7" width="84" style="11" customWidth="1"/>
    <col min="8" max="8" width="12" customWidth="1"/>
    <col min="9" max="9" width="30" style="11" customWidth="1"/>
  </cols>
  <sheetData>
    <row r="1" spans="1:9" x14ac:dyDescent="0.2">
      <c r="A1" s="3" t="s">
        <v>24</v>
      </c>
      <c r="B1" s="3" t="s">
        <v>25</v>
      </c>
      <c r="C1" s="3" t="s">
        <v>26</v>
      </c>
      <c r="D1" s="3" t="s">
        <v>27</v>
      </c>
      <c r="E1" s="3" t="s">
        <v>28</v>
      </c>
      <c r="F1" s="3" t="s">
        <v>29</v>
      </c>
      <c r="G1" s="3" t="s">
        <v>30</v>
      </c>
      <c r="H1" s="3" t="s">
        <v>31</v>
      </c>
      <c r="I1" s="3" t="s">
        <v>32</v>
      </c>
    </row>
    <row r="2" spans="1:9" ht="26" hidden="1" x14ac:dyDescent="0.2">
      <c r="A2" s="4" t="s">
        <v>33</v>
      </c>
      <c r="B2" s="4" t="s">
        <v>34</v>
      </c>
      <c r="C2" s="4" t="s">
        <v>35</v>
      </c>
      <c r="D2" s="4">
        <v>1</v>
      </c>
      <c r="E2" s="4" t="s">
        <v>36</v>
      </c>
      <c r="F2" s="4" t="s">
        <v>37</v>
      </c>
      <c r="G2" s="4" t="s">
        <v>552</v>
      </c>
      <c r="H2" s="4" t="s">
        <v>39</v>
      </c>
      <c r="I2" s="4"/>
    </row>
    <row r="3" spans="1:9" ht="39" hidden="1" x14ac:dyDescent="0.2">
      <c r="A3" s="4" t="s">
        <v>33</v>
      </c>
      <c r="B3" s="4" t="s">
        <v>34</v>
      </c>
      <c r="C3" s="4" t="s">
        <v>35</v>
      </c>
      <c r="D3" s="4">
        <v>2</v>
      </c>
      <c r="E3" s="4" t="s">
        <v>41</v>
      </c>
      <c r="F3" s="4" t="s">
        <v>37</v>
      </c>
      <c r="G3" s="4" t="s">
        <v>553</v>
      </c>
      <c r="H3" s="4" t="s">
        <v>39</v>
      </c>
      <c r="I3" s="4" t="s">
        <v>554</v>
      </c>
    </row>
    <row r="4" spans="1:9" ht="52" hidden="1" x14ac:dyDescent="0.2">
      <c r="A4" s="4" t="s">
        <v>33</v>
      </c>
      <c r="B4" s="4" t="s">
        <v>34</v>
      </c>
      <c r="C4" s="4" t="s">
        <v>35</v>
      </c>
      <c r="D4" s="4">
        <v>3</v>
      </c>
      <c r="E4" s="4" t="s">
        <v>43</v>
      </c>
      <c r="F4" s="4" t="s">
        <v>37</v>
      </c>
      <c r="G4" s="4" t="s">
        <v>45</v>
      </c>
      <c r="H4" s="4" t="s">
        <v>39</v>
      </c>
      <c r="I4" s="4"/>
    </row>
    <row r="5" spans="1:9" hidden="1" x14ac:dyDescent="0.2">
      <c r="A5" s="4" t="s">
        <v>33</v>
      </c>
      <c r="B5" s="4" t="s">
        <v>34</v>
      </c>
      <c r="C5" s="4" t="s">
        <v>35</v>
      </c>
      <c r="D5" s="5">
        <v>4</v>
      </c>
      <c r="E5" s="5" t="s">
        <v>46</v>
      </c>
      <c r="F5" s="5" t="s">
        <v>37</v>
      </c>
      <c r="G5" s="5" t="s">
        <v>47</v>
      </c>
      <c r="H5" s="5" t="s">
        <v>39</v>
      </c>
      <c r="I5" s="5"/>
    </row>
    <row r="6" spans="1:9" ht="28" hidden="1" x14ac:dyDescent="0.2">
      <c r="A6" s="4" t="s">
        <v>33</v>
      </c>
      <c r="B6" s="4" t="s">
        <v>34</v>
      </c>
      <c r="C6" s="4" t="s">
        <v>35</v>
      </c>
      <c r="D6" s="5">
        <v>5</v>
      </c>
      <c r="E6" s="5" t="s">
        <v>48</v>
      </c>
      <c r="F6" s="5" t="s">
        <v>44</v>
      </c>
      <c r="G6" s="5" t="s">
        <v>552</v>
      </c>
      <c r="H6" s="5" t="s">
        <v>39</v>
      </c>
      <c r="I6" s="5"/>
    </row>
    <row r="7" spans="1:9" ht="42" hidden="1" x14ac:dyDescent="0.2">
      <c r="A7" s="4" t="s">
        <v>33</v>
      </c>
      <c r="B7" s="4" t="s">
        <v>34</v>
      </c>
      <c r="C7" s="4" t="s">
        <v>35</v>
      </c>
      <c r="D7" s="5">
        <v>6</v>
      </c>
      <c r="E7" s="5" t="s">
        <v>49</v>
      </c>
      <c r="F7" s="5" t="s">
        <v>37</v>
      </c>
      <c r="G7" s="5" t="s">
        <v>50</v>
      </c>
      <c r="H7" s="5" t="s">
        <v>39</v>
      </c>
      <c r="I7" s="5"/>
    </row>
    <row r="8" spans="1:9" ht="28" hidden="1" x14ac:dyDescent="0.2">
      <c r="A8" s="4" t="s">
        <v>33</v>
      </c>
      <c r="B8" s="4" t="s">
        <v>34</v>
      </c>
      <c r="C8" s="4" t="s">
        <v>35</v>
      </c>
      <c r="D8" s="5">
        <v>7</v>
      </c>
      <c r="E8" s="5" t="s">
        <v>51</v>
      </c>
      <c r="F8" s="5" t="s">
        <v>37</v>
      </c>
      <c r="G8" s="5" t="s">
        <v>555</v>
      </c>
      <c r="H8" s="5" t="s">
        <v>39</v>
      </c>
      <c r="I8" s="5"/>
    </row>
    <row r="9" spans="1:9" ht="42" hidden="1" x14ac:dyDescent="0.2">
      <c r="A9" s="4" t="s">
        <v>33</v>
      </c>
      <c r="B9" s="4" t="s">
        <v>34</v>
      </c>
      <c r="C9" s="4" t="s">
        <v>35</v>
      </c>
      <c r="D9" s="5">
        <v>8</v>
      </c>
      <c r="E9" s="5" t="s">
        <v>52</v>
      </c>
      <c r="F9" s="5" t="s">
        <v>37</v>
      </c>
      <c r="G9" s="5" t="s">
        <v>53</v>
      </c>
      <c r="H9" s="5" t="s">
        <v>39</v>
      </c>
      <c r="I9" s="5"/>
    </row>
    <row r="10" spans="1:9" hidden="1" x14ac:dyDescent="0.2">
      <c r="A10" s="4" t="s">
        <v>33</v>
      </c>
      <c r="B10" s="4" t="s">
        <v>34</v>
      </c>
      <c r="C10" s="4" t="s">
        <v>35</v>
      </c>
      <c r="D10" s="5">
        <v>9</v>
      </c>
      <c r="E10" s="5" t="s">
        <v>54</v>
      </c>
      <c r="F10" s="5" t="s">
        <v>558</v>
      </c>
      <c r="G10" s="5" t="s">
        <v>556</v>
      </c>
      <c r="H10" s="5" t="s">
        <v>39</v>
      </c>
      <c r="I10" s="5"/>
    </row>
    <row r="11" spans="1:9" ht="42" hidden="1" x14ac:dyDescent="0.2">
      <c r="A11" s="4" t="s">
        <v>33</v>
      </c>
      <c r="B11" s="4" t="s">
        <v>34</v>
      </c>
      <c r="C11" s="4" t="s">
        <v>35</v>
      </c>
      <c r="D11" s="5">
        <v>11</v>
      </c>
      <c r="E11" s="5" t="s">
        <v>55</v>
      </c>
      <c r="F11" s="5" t="s">
        <v>37</v>
      </c>
      <c r="G11" s="5" t="s">
        <v>56</v>
      </c>
      <c r="H11" s="5" t="s">
        <v>39</v>
      </c>
      <c r="I11" s="5"/>
    </row>
    <row r="12" spans="1:9" ht="28" hidden="1" x14ac:dyDescent="0.2">
      <c r="A12" s="4" t="s">
        <v>33</v>
      </c>
      <c r="B12" s="4" t="s">
        <v>34</v>
      </c>
      <c r="C12" s="4" t="s">
        <v>35</v>
      </c>
      <c r="D12" s="5">
        <v>12</v>
      </c>
      <c r="E12" s="5" t="s">
        <v>57</v>
      </c>
      <c r="F12" s="5" t="s">
        <v>37</v>
      </c>
      <c r="G12" s="5" t="s">
        <v>557</v>
      </c>
      <c r="H12" s="5" t="s">
        <v>39</v>
      </c>
      <c r="I12" s="5"/>
    </row>
    <row r="13" spans="1:9" ht="42" hidden="1" x14ac:dyDescent="0.2">
      <c r="A13" s="4" t="s">
        <v>33</v>
      </c>
      <c r="B13" s="4" t="s">
        <v>34</v>
      </c>
      <c r="C13" s="4" t="s">
        <v>35</v>
      </c>
      <c r="D13" s="5">
        <v>13</v>
      </c>
      <c r="E13" s="5" t="s">
        <v>58</v>
      </c>
      <c r="F13" s="5" t="s">
        <v>558</v>
      </c>
      <c r="G13" s="5" t="s">
        <v>59</v>
      </c>
      <c r="H13" s="5" t="s">
        <v>39</v>
      </c>
      <c r="I13" s="5"/>
    </row>
    <row r="14" spans="1:9" ht="42" hidden="1" x14ac:dyDescent="0.2">
      <c r="A14" s="4" t="s">
        <v>33</v>
      </c>
      <c r="B14" s="4" t="s">
        <v>34</v>
      </c>
      <c r="C14" s="4" t="s">
        <v>35</v>
      </c>
      <c r="D14" s="5">
        <v>14</v>
      </c>
      <c r="E14" s="5" t="s">
        <v>60</v>
      </c>
      <c r="F14" s="5" t="s">
        <v>558</v>
      </c>
      <c r="G14" s="5" t="s">
        <v>556</v>
      </c>
      <c r="H14" s="5" t="s">
        <v>39</v>
      </c>
      <c r="I14" s="5"/>
    </row>
    <row r="15" spans="1:9" ht="42" hidden="1" x14ac:dyDescent="0.2">
      <c r="A15" s="4" t="s">
        <v>33</v>
      </c>
      <c r="B15" s="4" t="s">
        <v>34</v>
      </c>
      <c r="C15" s="4" t="s">
        <v>35</v>
      </c>
      <c r="D15" s="5">
        <v>15</v>
      </c>
      <c r="E15" s="5" t="s">
        <v>61</v>
      </c>
      <c r="F15" s="5" t="s">
        <v>558</v>
      </c>
      <c r="G15" s="5" t="s">
        <v>556</v>
      </c>
      <c r="H15" s="5" t="s">
        <v>39</v>
      </c>
      <c r="I15" s="5"/>
    </row>
    <row r="16" spans="1:9" ht="42" hidden="1" x14ac:dyDescent="0.2">
      <c r="A16" s="4" t="s">
        <v>33</v>
      </c>
      <c r="B16" s="4" t="s">
        <v>34</v>
      </c>
      <c r="C16" s="4" t="s">
        <v>35</v>
      </c>
      <c r="D16" s="5">
        <v>16</v>
      </c>
      <c r="E16" s="5" t="s">
        <v>62</v>
      </c>
      <c r="F16" s="5" t="s">
        <v>558</v>
      </c>
      <c r="G16" s="5" t="s">
        <v>556</v>
      </c>
      <c r="H16" s="5" t="s">
        <v>39</v>
      </c>
      <c r="I16" s="5"/>
    </row>
    <row r="17" spans="1:9" ht="28" hidden="1" x14ac:dyDescent="0.2">
      <c r="A17" s="4" t="s">
        <v>33</v>
      </c>
      <c r="B17" s="4" t="s">
        <v>34</v>
      </c>
      <c r="C17" s="4" t="s">
        <v>35</v>
      </c>
      <c r="D17" s="5">
        <v>17</v>
      </c>
      <c r="E17" s="5" t="s">
        <v>63</v>
      </c>
      <c r="F17" s="5" t="s">
        <v>37</v>
      </c>
      <c r="G17" s="5" t="s">
        <v>47</v>
      </c>
      <c r="H17" s="5" t="s">
        <v>39</v>
      </c>
      <c r="I17" s="5"/>
    </row>
    <row r="18" spans="1:9" ht="28" hidden="1" x14ac:dyDescent="0.2">
      <c r="A18" s="4" t="s">
        <v>33</v>
      </c>
      <c r="B18" s="4" t="s">
        <v>34</v>
      </c>
      <c r="C18" s="4" t="s">
        <v>35</v>
      </c>
      <c r="D18" s="5">
        <v>18</v>
      </c>
      <c r="E18" s="5" t="s">
        <v>64</v>
      </c>
      <c r="F18" s="5" t="s">
        <v>558</v>
      </c>
      <c r="G18" s="5" t="s">
        <v>556</v>
      </c>
      <c r="H18" s="5" t="s">
        <v>39</v>
      </c>
      <c r="I18" s="5" t="s">
        <v>559</v>
      </c>
    </row>
    <row r="19" spans="1:9" ht="42" hidden="1" x14ac:dyDescent="0.2">
      <c r="A19" s="4" t="s">
        <v>33</v>
      </c>
      <c r="B19" s="4" t="s">
        <v>34</v>
      </c>
      <c r="C19" s="4" t="s">
        <v>35</v>
      </c>
      <c r="D19" s="5">
        <v>19</v>
      </c>
      <c r="E19" s="5" t="s">
        <v>65</v>
      </c>
      <c r="F19" s="5" t="s">
        <v>560</v>
      </c>
      <c r="G19" s="5" t="s">
        <v>561</v>
      </c>
      <c r="H19" s="5" t="s">
        <v>39</v>
      </c>
      <c r="I19" s="5"/>
    </row>
    <row r="20" spans="1:9" ht="56" hidden="1" x14ac:dyDescent="0.2">
      <c r="A20" s="4" t="s">
        <v>33</v>
      </c>
      <c r="B20" s="4" t="s">
        <v>34</v>
      </c>
      <c r="C20" s="4" t="s">
        <v>35</v>
      </c>
      <c r="D20" s="5">
        <v>20</v>
      </c>
      <c r="E20" s="5" t="s">
        <v>66</v>
      </c>
      <c r="F20" s="5" t="s">
        <v>558</v>
      </c>
      <c r="G20" s="5" t="s">
        <v>56</v>
      </c>
      <c r="H20" s="5" t="s">
        <v>39</v>
      </c>
      <c r="I20" s="5"/>
    </row>
    <row r="21" spans="1:9" ht="28" hidden="1" x14ac:dyDescent="0.2">
      <c r="A21" s="5" t="s">
        <v>67</v>
      </c>
      <c r="B21" s="5" t="s">
        <v>34</v>
      </c>
      <c r="C21" s="5" t="s">
        <v>35</v>
      </c>
      <c r="D21" s="5">
        <v>1</v>
      </c>
      <c r="E21" s="5" t="s">
        <v>68</v>
      </c>
      <c r="F21" s="5" t="s">
        <v>37</v>
      </c>
      <c r="G21" s="5" t="s">
        <v>38</v>
      </c>
      <c r="H21" s="5" t="s">
        <v>39</v>
      </c>
      <c r="I21" s="5"/>
    </row>
    <row r="22" spans="1:9" ht="28" x14ac:dyDescent="0.2">
      <c r="A22" s="5" t="s">
        <v>67</v>
      </c>
      <c r="B22" s="5" t="s">
        <v>34</v>
      </c>
      <c r="C22" s="5" t="s">
        <v>35</v>
      </c>
      <c r="D22" s="5">
        <v>2</v>
      </c>
      <c r="E22" s="5" t="s">
        <v>69</v>
      </c>
      <c r="F22" s="5" t="s">
        <v>558</v>
      </c>
      <c r="G22" s="5" t="s">
        <v>556</v>
      </c>
      <c r="H22" s="5" t="s">
        <v>500</v>
      </c>
      <c r="I22" s="5"/>
    </row>
    <row r="23" spans="1:9" ht="42" hidden="1" x14ac:dyDescent="0.2">
      <c r="A23" s="5" t="s">
        <v>67</v>
      </c>
      <c r="B23" s="5" t="s">
        <v>34</v>
      </c>
      <c r="C23" s="5" t="s">
        <v>35</v>
      </c>
      <c r="D23" s="5">
        <v>3</v>
      </c>
      <c r="E23" s="5" t="s">
        <v>70</v>
      </c>
      <c r="F23" s="5" t="s">
        <v>558</v>
      </c>
      <c r="G23" s="5" t="s">
        <v>72</v>
      </c>
      <c r="H23" s="5" t="s">
        <v>39</v>
      </c>
      <c r="I23" s="5"/>
    </row>
    <row r="24" spans="1:9" ht="56" hidden="1" x14ac:dyDescent="0.2">
      <c r="A24" s="5" t="s">
        <v>67</v>
      </c>
      <c r="B24" s="5" t="s">
        <v>34</v>
      </c>
      <c r="C24" s="5" t="s">
        <v>35</v>
      </c>
      <c r="D24" s="5">
        <v>4</v>
      </c>
      <c r="E24" s="5" t="s">
        <v>71</v>
      </c>
      <c r="F24" s="5" t="s">
        <v>37</v>
      </c>
      <c r="G24" s="5" t="s">
        <v>72</v>
      </c>
      <c r="H24" s="5" t="s">
        <v>39</v>
      </c>
      <c r="I24" s="5"/>
    </row>
    <row r="25" spans="1:9" ht="28" hidden="1" x14ac:dyDescent="0.2">
      <c r="A25" s="5" t="s">
        <v>67</v>
      </c>
      <c r="B25" s="5" t="s">
        <v>34</v>
      </c>
      <c r="C25" s="5" t="s">
        <v>35</v>
      </c>
      <c r="D25" s="5">
        <v>5</v>
      </c>
      <c r="E25" s="5" t="s">
        <v>73</v>
      </c>
      <c r="F25" s="5" t="s">
        <v>37</v>
      </c>
      <c r="G25" s="5" t="s">
        <v>553</v>
      </c>
      <c r="H25" s="5" t="s">
        <v>39</v>
      </c>
      <c r="I25" s="5"/>
    </row>
    <row r="26" spans="1:9" ht="28" hidden="1" x14ac:dyDescent="0.2">
      <c r="A26" s="5" t="s">
        <v>67</v>
      </c>
      <c r="B26" s="5" t="s">
        <v>34</v>
      </c>
      <c r="C26" s="5" t="s">
        <v>35</v>
      </c>
      <c r="D26" s="5">
        <v>6</v>
      </c>
      <c r="E26" s="5" t="s">
        <v>74</v>
      </c>
      <c r="F26" s="5" t="s">
        <v>44</v>
      </c>
      <c r="G26" s="5" t="s">
        <v>47</v>
      </c>
      <c r="H26" s="5" t="s">
        <v>39</v>
      </c>
      <c r="I26" s="5"/>
    </row>
    <row r="27" spans="1:9" ht="42" hidden="1" x14ac:dyDescent="0.2">
      <c r="A27" s="5" t="s">
        <v>67</v>
      </c>
      <c r="B27" s="5" t="s">
        <v>34</v>
      </c>
      <c r="C27" s="5" t="s">
        <v>35</v>
      </c>
      <c r="D27" s="5">
        <v>7</v>
      </c>
      <c r="E27" s="5" t="s">
        <v>75</v>
      </c>
      <c r="F27" s="5" t="s">
        <v>37</v>
      </c>
      <c r="G27" s="5" t="s">
        <v>56</v>
      </c>
      <c r="H27" s="5" t="s">
        <v>39</v>
      </c>
      <c r="I27" s="5"/>
    </row>
    <row r="28" spans="1:9" ht="42" hidden="1" x14ac:dyDescent="0.2">
      <c r="A28" s="5" t="s">
        <v>67</v>
      </c>
      <c r="B28" s="5" t="s">
        <v>34</v>
      </c>
      <c r="C28" s="5" t="s">
        <v>35</v>
      </c>
      <c r="D28" s="5">
        <v>8</v>
      </c>
      <c r="E28" s="5" t="s">
        <v>76</v>
      </c>
      <c r="F28" s="5" t="s">
        <v>37</v>
      </c>
      <c r="G28" s="5" t="s">
        <v>77</v>
      </c>
      <c r="H28" s="5" t="s">
        <v>39</v>
      </c>
      <c r="I28" s="5"/>
    </row>
    <row r="29" spans="1:9" ht="28" hidden="1" x14ac:dyDescent="0.2">
      <c r="A29" s="5" t="s">
        <v>67</v>
      </c>
      <c r="B29" s="5" t="s">
        <v>34</v>
      </c>
      <c r="C29" s="5" t="s">
        <v>35</v>
      </c>
      <c r="D29" s="5">
        <v>9</v>
      </c>
      <c r="E29" s="5" t="s">
        <v>78</v>
      </c>
      <c r="F29" s="5" t="s">
        <v>37</v>
      </c>
      <c r="G29" s="5" t="s">
        <v>562</v>
      </c>
      <c r="H29" s="5" t="s">
        <v>39</v>
      </c>
      <c r="I29" s="5"/>
    </row>
    <row r="30" spans="1:9" ht="42" hidden="1" x14ac:dyDescent="0.2">
      <c r="A30" s="5" t="s">
        <v>67</v>
      </c>
      <c r="B30" s="5" t="s">
        <v>34</v>
      </c>
      <c r="C30" s="5" t="s">
        <v>35</v>
      </c>
      <c r="D30" s="5">
        <v>10</v>
      </c>
      <c r="E30" s="5" t="s">
        <v>79</v>
      </c>
      <c r="F30" s="5" t="s">
        <v>558</v>
      </c>
      <c r="G30" s="5" t="s">
        <v>77</v>
      </c>
      <c r="H30" s="5" t="s">
        <v>39</v>
      </c>
      <c r="I30" s="5"/>
    </row>
    <row r="31" spans="1:9" ht="28" hidden="1" x14ac:dyDescent="0.2">
      <c r="A31" s="5" t="s">
        <v>67</v>
      </c>
      <c r="B31" s="5" t="s">
        <v>34</v>
      </c>
      <c r="C31" s="5" t="s">
        <v>35</v>
      </c>
      <c r="D31" s="5">
        <v>11</v>
      </c>
      <c r="E31" s="5" t="s">
        <v>80</v>
      </c>
      <c r="F31" s="5" t="s">
        <v>558</v>
      </c>
      <c r="G31" s="5" t="s">
        <v>563</v>
      </c>
      <c r="H31" s="5" t="s">
        <v>39</v>
      </c>
      <c r="I31" s="5"/>
    </row>
    <row r="32" spans="1:9" ht="28" hidden="1" x14ac:dyDescent="0.2">
      <c r="A32" s="5" t="s">
        <v>67</v>
      </c>
      <c r="B32" s="5" t="s">
        <v>34</v>
      </c>
      <c r="C32" s="5" t="s">
        <v>35</v>
      </c>
      <c r="D32" s="5">
        <v>12</v>
      </c>
      <c r="E32" s="5" t="s">
        <v>81</v>
      </c>
      <c r="F32" s="5" t="s">
        <v>37</v>
      </c>
      <c r="G32" s="5" t="s">
        <v>50</v>
      </c>
      <c r="H32" s="5" t="s">
        <v>39</v>
      </c>
      <c r="I32" s="5"/>
    </row>
    <row r="33" spans="1:9" ht="42" hidden="1" x14ac:dyDescent="0.2">
      <c r="A33" s="5" t="s">
        <v>67</v>
      </c>
      <c r="B33" s="5" t="s">
        <v>34</v>
      </c>
      <c r="C33" s="5" t="s">
        <v>35</v>
      </c>
      <c r="D33" s="5">
        <v>13</v>
      </c>
      <c r="E33" s="5" t="s">
        <v>82</v>
      </c>
      <c r="F33" s="5" t="s">
        <v>37</v>
      </c>
      <c r="G33" s="5" t="s">
        <v>45</v>
      </c>
      <c r="H33" s="5" t="s">
        <v>39</v>
      </c>
      <c r="I33" s="5"/>
    </row>
    <row r="34" spans="1:9" ht="32" hidden="1" x14ac:dyDescent="0.2">
      <c r="A34" s="5" t="s">
        <v>67</v>
      </c>
      <c r="B34" s="5" t="s">
        <v>34</v>
      </c>
      <c r="C34" s="5" t="s">
        <v>35</v>
      </c>
      <c r="D34">
        <v>14</v>
      </c>
      <c r="E34" s="11" t="s">
        <v>83</v>
      </c>
      <c r="F34" t="s">
        <v>37</v>
      </c>
      <c r="G34" s="11" t="s">
        <v>84</v>
      </c>
      <c r="H34" t="s">
        <v>39</v>
      </c>
    </row>
    <row r="35" spans="1:9" ht="48" hidden="1" x14ac:dyDescent="0.2">
      <c r="A35" s="5" t="s">
        <v>67</v>
      </c>
      <c r="B35" s="5" t="s">
        <v>34</v>
      </c>
      <c r="C35" s="5" t="s">
        <v>35</v>
      </c>
      <c r="D35">
        <v>15</v>
      </c>
      <c r="E35" s="11" t="s">
        <v>85</v>
      </c>
      <c r="F35" t="s">
        <v>558</v>
      </c>
      <c r="G35" s="11" t="s">
        <v>45</v>
      </c>
      <c r="H35" s="12" t="s">
        <v>39</v>
      </c>
    </row>
    <row r="36" spans="1:9" ht="48" hidden="1" x14ac:dyDescent="0.2">
      <c r="A36" s="5" t="s">
        <v>67</v>
      </c>
      <c r="B36" s="5" t="s">
        <v>34</v>
      </c>
      <c r="C36" s="5" t="s">
        <v>35</v>
      </c>
      <c r="D36">
        <v>16</v>
      </c>
      <c r="E36" s="11" t="s">
        <v>86</v>
      </c>
      <c r="F36" t="s">
        <v>558</v>
      </c>
      <c r="G36" s="11" t="s">
        <v>556</v>
      </c>
      <c r="H36" s="12" t="s">
        <v>39</v>
      </c>
    </row>
    <row r="37" spans="1:9" ht="32" hidden="1" x14ac:dyDescent="0.2">
      <c r="A37" s="5" t="s">
        <v>67</v>
      </c>
      <c r="B37" s="5" t="s">
        <v>34</v>
      </c>
      <c r="C37" s="5" t="s">
        <v>35</v>
      </c>
      <c r="D37">
        <v>17</v>
      </c>
      <c r="E37" s="11" t="s">
        <v>87</v>
      </c>
      <c r="F37" s="12" t="s">
        <v>558</v>
      </c>
      <c r="G37" s="11" t="s">
        <v>556</v>
      </c>
      <c r="H37" s="12" t="s">
        <v>39</v>
      </c>
    </row>
    <row r="38" spans="1:9" ht="32" hidden="1" x14ac:dyDescent="0.2">
      <c r="A38" s="5" t="s">
        <v>67</v>
      </c>
      <c r="B38" s="5" t="s">
        <v>34</v>
      </c>
      <c r="C38" s="5" t="s">
        <v>35</v>
      </c>
      <c r="D38">
        <v>18</v>
      </c>
      <c r="E38" s="11" t="s">
        <v>88</v>
      </c>
      <c r="F38" t="s">
        <v>37</v>
      </c>
      <c r="G38" s="11" t="s">
        <v>47</v>
      </c>
      <c r="H38" t="s">
        <v>39</v>
      </c>
    </row>
    <row r="39" spans="1:9" ht="32" hidden="1" x14ac:dyDescent="0.2">
      <c r="A39" s="5" t="s">
        <v>67</v>
      </c>
      <c r="B39" s="5" t="s">
        <v>34</v>
      </c>
      <c r="C39" s="5" t="s">
        <v>35</v>
      </c>
      <c r="D39">
        <v>19</v>
      </c>
      <c r="E39" s="11" t="s">
        <v>89</v>
      </c>
      <c r="F39" s="12" t="s">
        <v>558</v>
      </c>
      <c r="G39" s="11" t="s">
        <v>564</v>
      </c>
      <c r="H39" t="s">
        <v>39</v>
      </c>
    </row>
    <row r="40" spans="1:9" ht="48" hidden="1" x14ac:dyDescent="0.2">
      <c r="A40" s="5" t="s">
        <v>67</v>
      </c>
      <c r="B40" s="5" t="s">
        <v>34</v>
      </c>
      <c r="C40" s="5" t="s">
        <v>35</v>
      </c>
      <c r="D40">
        <v>20</v>
      </c>
      <c r="E40" s="11" t="s">
        <v>90</v>
      </c>
      <c r="F40" t="s">
        <v>560</v>
      </c>
      <c r="G40" s="11" t="s">
        <v>59</v>
      </c>
      <c r="H40" t="s">
        <v>39</v>
      </c>
    </row>
    <row r="41" spans="1:9" ht="48" hidden="1" x14ac:dyDescent="0.2">
      <c r="A41" s="5" t="s">
        <v>67</v>
      </c>
      <c r="B41" s="5" t="s">
        <v>34</v>
      </c>
      <c r="C41" s="5" t="s">
        <v>35</v>
      </c>
      <c r="D41">
        <v>21</v>
      </c>
      <c r="E41" s="11" t="s">
        <v>91</v>
      </c>
      <c r="F41" s="12" t="s">
        <v>560</v>
      </c>
      <c r="G41" s="11" t="s">
        <v>565</v>
      </c>
      <c r="H41" t="s">
        <v>39</v>
      </c>
    </row>
    <row r="42" spans="1:9" ht="48" hidden="1" x14ac:dyDescent="0.2">
      <c r="A42" t="s">
        <v>92</v>
      </c>
      <c r="B42" t="s">
        <v>93</v>
      </c>
      <c r="C42" t="s">
        <v>94</v>
      </c>
      <c r="D42">
        <v>1</v>
      </c>
      <c r="E42" s="11" t="s">
        <v>95</v>
      </c>
      <c r="F42" t="s">
        <v>37</v>
      </c>
      <c r="G42" s="11" t="s">
        <v>96</v>
      </c>
      <c r="H42" t="s">
        <v>39</v>
      </c>
    </row>
    <row r="43" spans="1:9" ht="48" hidden="1" x14ac:dyDescent="0.2">
      <c r="A43" t="s">
        <v>92</v>
      </c>
      <c r="B43" t="s">
        <v>93</v>
      </c>
      <c r="C43" t="s">
        <v>94</v>
      </c>
      <c r="D43">
        <v>2</v>
      </c>
      <c r="E43" s="11" t="s">
        <v>97</v>
      </c>
      <c r="F43" t="s">
        <v>558</v>
      </c>
      <c r="H43" t="s">
        <v>39</v>
      </c>
    </row>
    <row r="44" spans="1:9" ht="192" hidden="1" x14ac:dyDescent="0.2">
      <c r="A44" t="s">
        <v>92</v>
      </c>
      <c r="B44" t="s">
        <v>93</v>
      </c>
      <c r="C44" t="s">
        <v>94</v>
      </c>
      <c r="D44">
        <v>3</v>
      </c>
      <c r="E44" s="11" t="s">
        <v>100</v>
      </c>
      <c r="F44" t="s">
        <v>101</v>
      </c>
      <c r="G44" s="11" t="s">
        <v>102</v>
      </c>
      <c r="H44" t="s">
        <v>39</v>
      </c>
    </row>
    <row r="45" spans="1:9" ht="32" hidden="1" x14ac:dyDescent="0.2">
      <c r="A45" t="s">
        <v>92</v>
      </c>
      <c r="B45" t="s">
        <v>93</v>
      </c>
      <c r="C45" t="s">
        <v>94</v>
      </c>
      <c r="D45">
        <v>4</v>
      </c>
      <c r="E45" s="11" t="s">
        <v>103</v>
      </c>
      <c r="F45" t="s">
        <v>37</v>
      </c>
      <c r="G45" s="11" t="s">
        <v>566</v>
      </c>
      <c r="H45" t="s">
        <v>39</v>
      </c>
    </row>
    <row r="46" spans="1:9" ht="16" hidden="1" x14ac:dyDescent="0.2">
      <c r="A46" t="s">
        <v>92</v>
      </c>
      <c r="B46" t="s">
        <v>93</v>
      </c>
      <c r="C46" t="s">
        <v>94</v>
      </c>
      <c r="D46">
        <v>5</v>
      </c>
      <c r="E46" s="11" t="s">
        <v>105</v>
      </c>
      <c r="F46" t="s">
        <v>37</v>
      </c>
      <c r="G46" s="11" t="s">
        <v>566</v>
      </c>
      <c r="H46" t="s">
        <v>39</v>
      </c>
    </row>
    <row r="47" spans="1:9" ht="320" hidden="1" x14ac:dyDescent="0.2">
      <c r="A47" t="s">
        <v>92</v>
      </c>
      <c r="B47" t="s">
        <v>93</v>
      </c>
      <c r="C47" t="s">
        <v>94</v>
      </c>
      <c r="D47">
        <v>6</v>
      </c>
      <c r="E47" s="11" t="s">
        <v>106</v>
      </c>
      <c r="F47" t="s">
        <v>37</v>
      </c>
      <c r="G47" s="11" t="s">
        <v>567</v>
      </c>
      <c r="H47" t="s">
        <v>39</v>
      </c>
    </row>
    <row r="48" spans="1:9" ht="224" hidden="1" x14ac:dyDescent="0.2">
      <c r="A48" t="s">
        <v>92</v>
      </c>
      <c r="B48" t="s">
        <v>93</v>
      </c>
      <c r="C48" t="s">
        <v>94</v>
      </c>
      <c r="D48">
        <v>7</v>
      </c>
      <c r="E48" s="11" t="s">
        <v>107</v>
      </c>
      <c r="F48" t="s">
        <v>37</v>
      </c>
      <c r="G48" s="11" t="s">
        <v>104</v>
      </c>
      <c r="H48" t="s">
        <v>39</v>
      </c>
    </row>
    <row r="49" spans="1:9" ht="224" hidden="1" x14ac:dyDescent="0.2">
      <c r="A49" t="s">
        <v>92</v>
      </c>
      <c r="B49" t="s">
        <v>93</v>
      </c>
      <c r="C49" t="s">
        <v>94</v>
      </c>
      <c r="D49">
        <v>8</v>
      </c>
      <c r="E49" s="11" t="s">
        <v>108</v>
      </c>
      <c r="F49" t="s">
        <v>37</v>
      </c>
      <c r="G49" s="11" t="s">
        <v>104</v>
      </c>
      <c r="H49" t="s">
        <v>39</v>
      </c>
    </row>
    <row r="50" spans="1:9" ht="224" hidden="1" x14ac:dyDescent="0.2">
      <c r="A50" t="s">
        <v>92</v>
      </c>
      <c r="B50" t="s">
        <v>93</v>
      </c>
      <c r="C50" t="s">
        <v>94</v>
      </c>
      <c r="D50">
        <v>9</v>
      </c>
      <c r="E50" s="11" t="s">
        <v>110</v>
      </c>
      <c r="G50" s="11" t="s">
        <v>104</v>
      </c>
      <c r="H50" t="s">
        <v>39</v>
      </c>
    </row>
    <row r="51" spans="1:9" ht="160" hidden="1" x14ac:dyDescent="0.2">
      <c r="A51" t="s">
        <v>92</v>
      </c>
      <c r="B51" t="s">
        <v>93</v>
      </c>
      <c r="C51" t="s">
        <v>94</v>
      </c>
      <c r="D51">
        <v>10</v>
      </c>
      <c r="E51" s="11" t="s">
        <v>111</v>
      </c>
      <c r="F51" t="s">
        <v>98</v>
      </c>
      <c r="G51" s="11" t="s">
        <v>99</v>
      </c>
      <c r="H51" t="s">
        <v>39</v>
      </c>
    </row>
    <row r="52" spans="1:9" ht="160" hidden="1" x14ac:dyDescent="0.2">
      <c r="A52" t="s">
        <v>92</v>
      </c>
      <c r="B52" t="s">
        <v>93</v>
      </c>
      <c r="C52" t="s">
        <v>94</v>
      </c>
      <c r="D52">
        <v>11</v>
      </c>
      <c r="E52" s="11" t="s">
        <v>112</v>
      </c>
      <c r="F52" t="s">
        <v>37</v>
      </c>
      <c r="G52" s="11" t="s">
        <v>99</v>
      </c>
      <c r="H52" t="s">
        <v>39</v>
      </c>
    </row>
    <row r="53" spans="1:9" ht="192" hidden="1" x14ac:dyDescent="0.2">
      <c r="A53" t="s">
        <v>92</v>
      </c>
      <c r="B53" t="s">
        <v>93</v>
      </c>
      <c r="C53" t="s">
        <v>94</v>
      </c>
      <c r="D53">
        <v>12</v>
      </c>
      <c r="E53" s="11" t="s">
        <v>113</v>
      </c>
      <c r="F53" t="s">
        <v>558</v>
      </c>
      <c r="G53" s="11" t="s">
        <v>102</v>
      </c>
      <c r="H53" t="s">
        <v>39</v>
      </c>
    </row>
    <row r="54" spans="1:9" ht="32" hidden="1" x14ac:dyDescent="0.2">
      <c r="A54" t="s">
        <v>92</v>
      </c>
      <c r="B54" t="s">
        <v>93</v>
      </c>
      <c r="C54" t="s">
        <v>94</v>
      </c>
      <c r="D54">
        <v>12</v>
      </c>
      <c r="E54" s="11" t="s">
        <v>114</v>
      </c>
      <c r="F54" t="s">
        <v>558</v>
      </c>
      <c r="G54" s="11" t="s">
        <v>556</v>
      </c>
      <c r="H54" t="s">
        <v>39</v>
      </c>
    </row>
    <row r="55" spans="1:9" ht="192" hidden="1" x14ac:dyDescent="0.2">
      <c r="A55" t="s">
        <v>92</v>
      </c>
      <c r="B55" t="s">
        <v>93</v>
      </c>
      <c r="C55" t="s">
        <v>94</v>
      </c>
      <c r="D55">
        <v>15</v>
      </c>
      <c r="E55" s="11" t="s">
        <v>115</v>
      </c>
      <c r="F55" t="s">
        <v>37</v>
      </c>
      <c r="G55" s="11" t="s">
        <v>102</v>
      </c>
      <c r="H55" t="s">
        <v>39</v>
      </c>
    </row>
    <row r="56" spans="1:9" ht="48" hidden="1" x14ac:dyDescent="0.2">
      <c r="A56" t="s">
        <v>92</v>
      </c>
      <c r="B56" t="s">
        <v>93</v>
      </c>
      <c r="C56" t="s">
        <v>94</v>
      </c>
      <c r="D56">
        <v>16</v>
      </c>
      <c r="E56" s="11" t="s">
        <v>116</v>
      </c>
      <c r="F56" t="s">
        <v>558</v>
      </c>
      <c r="G56" s="11" t="s">
        <v>556</v>
      </c>
      <c r="H56" t="s">
        <v>39</v>
      </c>
      <c r="I56" s="11" t="s">
        <v>568</v>
      </c>
    </row>
    <row r="57" spans="1:9" ht="48" hidden="1" x14ac:dyDescent="0.2">
      <c r="A57" t="s">
        <v>92</v>
      </c>
      <c r="B57" t="s">
        <v>93</v>
      </c>
      <c r="C57" t="s">
        <v>94</v>
      </c>
      <c r="D57">
        <v>17</v>
      </c>
      <c r="E57" s="11" t="s">
        <v>117</v>
      </c>
      <c r="F57" t="s">
        <v>558</v>
      </c>
      <c r="G57" s="11" t="s">
        <v>556</v>
      </c>
      <c r="H57" t="s">
        <v>39</v>
      </c>
    </row>
    <row r="58" spans="1:9" ht="64" hidden="1" x14ac:dyDescent="0.2">
      <c r="A58" t="s">
        <v>92</v>
      </c>
      <c r="B58" t="s">
        <v>93</v>
      </c>
      <c r="C58" t="s">
        <v>94</v>
      </c>
      <c r="D58">
        <v>18</v>
      </c>
      <c r="E58" s="11" t="s">
        <v>118</v>
      </c>
      <c r="F58" t="s">
        <v>558</v>
      </c>
      <c r="G58" s="11" t="s">
        <v>556</v>
      </c>
      <c r="H58" t="s">
        <v>39</v>
      </c>
      <c r="I58" s="11" t="s">
        <v>568</v>
      </c>
    </row>
    <row r="59" spans="1:9" ht="32" hidden="1" x14ac:dyDescent="0.2">
      <c r="A59" t="s">
        <v>92</v>
      </c>
      <c r="B59" t="s">
        <v>93</v>
      </c>
      <c r="C59" t="s">
        <v>94</v>
      </c>
      <c r="D59">
        <v>19</v>
      </c>
      <c r="E59" s="11" t="s">
        <v>119</v>
      </c>
      <c r="F59" t="s">
        <v>558</v>
      </c>
      <c r="G59" s="11" t="s">
        <v>556</v>
      </c>
      <c r="H59" t="s">
        <v>39</v>
      </c>
    </row>
    <row r="60" spans="1:9" ht="48" hidden="1" x14ac:dyDescent="0.2">
      <c r="A60" t="s">
        <v>92</v>
      </c>
      <c r="B60" t="s">
        <v>93</v>
      </c>
      <c r="C60" t="s">
        <v>94</v>
      </c>
      <c r="D60">
        <v>20</v>
      </c>
      <c r="E60" s="11" t="s">
        <v>120</v>
      </c>
      <c r="F60" t="s">
        <v>37</v>
      </c>
      <c r="G60" s="11" t="s">
        <v>96</v>
      </c>
      <c r="H60" t="s">
        <v>39</v>
      </c>
    </row>
    <row r="61" spans="1:9" ht="32" hidden="1" x14ac:dyDescent="0.2">
      <c r="A61" t="s">
        <v>92</v>
      </c>
      <c r="B61" t="s">
        <v>93</v>
      </c>
      <c r="C61" t="s">
        <v>94</v>
      </c>
      <c r="D61">
        <v>21</v>
      </c>
      <c r="E61" s="11" t="s">
        <v>121</v>
      </c>
      <c r="F61" t="s">
        <v>560</v>
      </c>
      <c r="G61" s="11" t="s">
        <v>565</v>
      </c>
      <c r="H61" t="s">
        <v>39</v>
      </c>
    </row>
    <row r="62" spans="1:9" ht="64" hidden="1" x14ac:dyDescent="0.2">
      <c r="A62" t="s">
        <v>92</v>
      </c>
      <c r="B62" t="s">
        <v>93</v>
      </c>
      <c r="C62" t="s">
        <v>94</v>
      </c>
      <c r="D62">
        <v>22</v>
      </c>
      <c r="E62" s="11" t="s">
        <v>122</v>
      </c>
      <c r="F62" t="s">
        <v>560</v>
      </c>
      <c r="G62" s="11" t="s">
        <v>109</v>
      </c>
      <c r="H62" t="s">
        <v>39</v>
      </c>
    </row>
    <row r="63" spans="1:9" ht="32" hidden="1" x14ac:dyDescent="0.2">
      <c r="A63" t="s">
        <v>92</v>
      </c>
      <c r="B63" t="s">
        <v>93</v>
      </c>
      <c r="C63" t="s">
        <v>94</v>
      </c>
      <c r="D63">
        <v>23</v>
      </c>
      <c r="E63" s="11" t="s">
        <v>123</v>
      </c>
      <c r="F63" t="s">
        <v>560</v>
      </c>
      <c r="G63" s="11" t="s">
        <v>569</v>
      </c>
      <c r="H63" t="s">
        <v>39</v>
      </c>
    </row>
    <row r="64" spans="1:9" ht="32" hidden="1" x14ac:dyDescent="0.2">
      <c r="A64" t="s">
        <v>124</v>
      </c>
      <c r="B64" t="s">
        <v>93</v>
      </c>
      <c r="C64" t="s">
        <v>125</v>
      </c>
      <c r="D64">
        <v>1</v>
      </c>
      <c r="E64" s="11" t="s">
        <v>126</v>
      </c>
      <c r="F64" t="s">
        <v>37</v>
      </c>
      <c r="G64" s="13" t="s">
        <v>570</v>
      </c>
      <c r="H64" t="s">
        <v>39</v>
      </c>
    </row>
    <row r="65" spans="1:9" ht="32" hidden="1" x14ac:dyDescent="0.2">
      <c r="A65" t="s">
        <v>124</v>
      </c>
      <c r="B65" t="s">
        <v>93</v>
      </c>
      <c r="C65" t="s">
        <v>125</v>
      </c>
      <c r="D65">
        <v>2</v>
      </c>
      <c r="E65" s="11" t="s">
        <v>127</v>
      </c>
      <c r="F65" t="s">
        <v>558</v>
      </c>
      <c r="G65" s="11" t="s">
        <v>556</v>
      </c>
      <c r="H65" t="s">
        <v>39</v>
      </c>
    </row>
    <row r="66" spans="1:9" ht="64" hidden="1" x14ac:dyDescent="0.2">
      <c r="A66" t="s">
        <v>124</v>
      </c>
      <c r="B66" t="s">
        <v>93</v>
      </c>
      <c r="C66" t="s">
        <v>125</v>
      </c>
      <c r="D66">
        <v>3</v>
      </c>
      <c r="E66" s="11" t="s">
        <v>128</v>
      </c>
      <c r="F66" t="s">
        <v>37</v>
      </c>
      <c r="G66" s="11" t="s">
        <v>129</v>
      </c>
      <c r="H66" t="s">
        <v>39</v>
      </c>
    </row>
    <row r="67" spans="1:9" ht="48" hidden="1" x14ac:dyDescent="0.2">
      <c r="A67" t="s">
        <v>124</v>
      </c>
      <c r="B67" t="s">
        <v>93</v>
      </c>
      <c r="C67" t="s">
        <v>125</v>
      </c>
      <c r="D67">
        <v>4</v>
      </c>
      <c r="E67" s="11" t="s">
        <v>130</v>
      </c>
      <c r="F67" t="s">
        <v>558</v>
      </c>
      <c r="G67" s="11" t="s">
        <v>571</v>
      </c>
      <c r="H67" t="s">
        <v>39</v>
      </c>
    </row>
    <row r="68" spans="1:9" ht="64" hidden="1" x14ac:dyDescent="0.2">
      <c r="A68" t="s">
        <v>124</v>
      </c>
      <c r="B68" t="s">
        <v>93</v>
      </c>
      <c r="C68" t="s">
        <v>125</v>
      </c>
      <c r="D68">
        <v>5</v>
      </c>
      <c r="E68" s="11" t="s">
        <v>131</v>
      </c>
      <c r="F68" t="s">
        <v>37</v>
      </c>
      <c r="G68" s="11" t="s">
        <v>129</v>
      </c>
      <c r="H68" t="s">
        <v>39</v>
      </c>
    </row>
    <row r="69" spans="1:9" ht="32" hidden="1" x14ac:dyDescent="0.2">
      <c r="A69" t="s">
        <v>124</v>
      </c>
      <c r="B69" t="s">
        <v>93</v>
      </c>
      <c r="C69" t="s">
        <v>125</v>
      </c>
      <c r="D69">
        <v>6</v>
      </c>
      <c r="E69" s="11" t="s">
        <v>132</v>
      </c>
      <c r="F69" t="s">
        <v>37</v>
      </c>
      <c r="G69" s="11" t="s">
        <v>133</v>
      </c>
      <c r="H69" t="s">
        <v>39</v>
      </c>
    </row>
    <row r="70" spans="1:9" ht="48" hidden="1" x14ac:dyDescent="0.2">
      <c r="A70" t="s">
        <v>124</v>
      </c>
      <c r="B70" t="s">
        <v>93</v>
      </c>
      <c r="C70" t="s">
        <v>125</v>
      </c>
      <c r="D70">
        <v>7</v>
      </c>
      <c r="E70" s="11" t="s">
        <v>134</v>
      </c>
      <c r="F70" t="s">
        <v>558</v>
      </c>
      <c r="G70" s="11" t="s">
        <v>563</v>
      </c>
      <c r="H70" t="s">
        <v>39</v>
      </c>
    </row>
    <row r="71" spans="1:9" ht="64" hidden="1" x14ac:dyDescent="0.2">
      <c r="A71" t="s">
        <v>124</v>
      </c>
      <c r="B71" t="s">
        <v>93</v>
      </c>
      <c r="C71" t="s">
        <v>125</v>
      </c>
      <c r="D71">
        <v>8</v>
      </c>
      <c r="E71" s="11" t="s">
        <v>135</v>
      </c>
      <c r="F71" t="s">
        <v>37</v>
      </c>
      <c r="G71" s="11" t="s">
        <v>136</v>
      </c>
      <c r="H71" t="s">
        <v>39</v>
      </c>
    </row>
    <row r="72" spans="1:9" ht="64" hidden="1" x14ac:dyDescent="0.2">
      <c r="A72" t="s">
        <v>124</v>
      </c>
      <c r="B72" t="s">
        <v>93</v>
      </c>
      <c r="C72" t="s">
        <v>125</v>
      </c>
      <c r="D72">
        <v>9</v>
      </c>
      <c r="E72" s="11" t="s">
        <v>137</v>
      </c>
      <c r="F72" t="s">
        <v>558</v>
      </c>
      <c r="G72" s="11" t="s">
        <v>129</v>
      </c>
      <c r="H72" t="s">
        <v>39</v>
      </c>
    </row>
    <row r="73" spans="1:9" ht="96" hidden="1" x14ac:dyDescent="0.2">
      <c r="A73" t="s">
        <v>124</v>
      </c>
      <c r="B73" t="s">
        <v>93</v>
      </c>
      <c r="C73" t="s">
        <v>125</v>
      </c>
      <c r="D73">
        <v>10</v>
      </c>
      <c r="E73" s="11" t="s">
        <v>138</v>
      </c>
      <c r="F73" t="s">
        <v>37</v>
      </c>
      <c r="G73" s="11" t="s">
        <v>139</v>
      </c>
      <c r="H73" t="s">
        <v>39</v>
      </c>
      <c r="I73" s="14" t="s">
        <v>591</v>
      </c>
    </row>
    <row r="74" spans="1:9" ht="64" hidden="1" x14ac:dyDescent="0.2">
      <c r="A74" t="s">
        <v>124</v>
      </c>
      <c r="B74" t="s">
        <v>93</v>
      </c>
      <c r="C74" t="s">
        <v>125</v>
      </c>
      <c r="D74">
        <v>11</v>
      </c>
      <c r="E74" s="11" t="s">
        <v>140</v>
      </c>
      <c r="F74" t="s">
        <v>37</v>
      </c>
      <c r="G74" s="11" t="s">
        <v>141</v>
      </c>
      <c r="H74" t="s">
        <v>39</v>
      </c>
    </row>
    <row r="75" spans="1:9" ht="48" hidden="1" x14ac:dyDescent="0.2">
      <c r="A75" t="s">
        <v>124</v>
      </c>
      <c r="B75" t="s">
        <v>93</v>
      </c>
      <c r="C75" t="s">
        <v>125</v>
      </c>
      <c r="D75">
        <v>13</v>
      </c>
      <c r="E75" s="11" t="s">
        <v>142</v>
      </c>
      <c r="F75" t="s">
        <v>558</v>
      </c>
      <c r="G75" s="11" t="s">
        <v>141</v>
      </c>
      <c r="H75" t="s">
        <v>39</v>
      </c>
    </row>
    <row r="76" spans="1:9" ht="32" hidden="1" x14ac:dyDescent="0.2">
      <c r="A76" t="s">
        <v>124</v>
      </c>
      <c r="B76" t="s">
        <v>93</v>
      </c>
      <c r="C76" t="s">
        <v>125</v>
      </c>
      <c r="D76">
        <v>14</v>
      </c>
      <c r="E76" s="11" t="s">
        <v>143</v>
      </c>
      <c r="F76" t="s">
        <v>558</v>
      </c>
      <c r="G76" s="11" t="s">
        <v>556</v>
      </c>
      <c r="H76" t="s">
        <v>39</v>
      </c>
    </row>
    <row r="77" spans="1:9" ht="48" hidden="1" x14ac:dyDescent="0.2">
      <c r="A77" t="s">
        <v>124</v>
      </c>
      <c r="B77" t="s">
        <v>93</v>
      </c>
      <c r="C77" t="s">
        <v>125</v>
      </c>
      <c r="D77">
        <v>15</v>
      </c>
      <c r="E77" s="11" t="s">
        <v>144</v>
      </c>
      <c r="F77" t="s">
        <v>558</v>
      </c>
      <c r="G77" s="11" t="s">
        <v>141</v>
      </c>
      <c r="H77" t="s">
        <v>39</v>
      </c>
    </row>
    <row r="78" spans="1:9" ht="32" x14ac:dyDescent="0.2">
      <c r="A78" t="s">
        <v>124</v>
      </c>
      <c r="B78" t="s">
        <v>93</v>
      </c>
      <c r="C78" t="s">
        <v>125</v>
      </c>
      <c r="D78">
        <v>16</v>
      </c>
      <c r="E78" s="11" t="s">
        <v>145</v>
      </c>
      <c r="F78" t="s">
        <v>558</v>
      </c>
      <c r="G78" s="11" t="s">
        <v>556</v>
      </c>
      <c r="H78" t="s">
        <v>500</v>
      </c>
      <c r="I78" s="11" t="s">
        <v>572</v>
      </c>
    </row>
    <row r="79" spans="1:9" ht="48" hidden="1" x14ac:dyDescent="0.2">
      <c r="A79" t="s">
        <v>124</v>
      </c>
      <c r="B79" t="s">
        <v>93</v>
      </c>
      <c r="C79" t="s">
        <v>125</v>
      </c>
      <c r="D79">
        <v>17</v>
      </c>
      <c r="E79" s="11" t="s">
        <v>146</v>
      </c>
      <c r="F79" t="s">
        <v>560</v>
      </c>
      <c r="G79" s="11" t="s">
        <v>565</v>
      </c>
      <c r="H79" t="s">
        <v>39</v>
      </c>
    </row>
    <row r="80" spans="1:9" ht="48" hidden="1" x14ac:dyDescent="0.2">
      <c r="A80" t="s">
        <v>124</v>
      </c>
      <c r="B80" t="s">
        <v>93</v>
      </c>
      <c r="C80" t="s">
        <v>125</v>
      </c>
      <c r="D80">
        <v>18</v>
      </c>
      <c r="E80" s="11" t="s">
        <v>147</v>
      </c>
      <c r="F80" t="s">
        <v>560</v>
      </c>
      <c r="G80" s="11" t="s">
        <v>565</v>
      </c>
      <c r="H80" t="s">
        <v>39</v>
      </c>
    </row>
    <row r="81" spans="1:9" ht="16" hidden="1" x14ac:dyDescent="0.2">
      <c r="A81" t="s">
        <v>124</v>
      </c>
      <c r="B81" t="s">
        <v>93</v>
      </c>
      <c r="C81" t="s">
        <v>125</v>
      </c>
      <c r="D81">
        <v>19</v>
      </c>
      <c r="E81" s="11" t="s">
        <v>148</v>
      </c>
      <c r="F81" t="s">
        <v>560</v>
      </c>
      <c r="G81" s="11" t="s">
        <v>565</v>
      </c>
      <c r="H81" t="s">
        <v>39</v>
      </c>
    </row>
    <row r="82" spans="1:9" ht="48" hidden="1" x14ac:dyDescent="0.2">
      <c r="A82" t="s">
        <v>124</v>
      </c>
      <c r="B82" t="s">
        <v>93</v>
      </c>
      <c r="C82" t="s">
        <v>125</v>
      </c>
      <c r="D82">
        <v>20</v>
      </c>
      <c r="E82" s="11" t="s">
        <v>149</v>
      </c>
      <c r="F82" t="s">
        <v>560</v>
      </c>
      <c r="G82" s="11" t="s">
        <v>569</v>
      </c>
      <c r="H82" t="s">
        <v>39</v>
      </c>
    </row>
    <row r="83" spans="1:9" ht="64" hidden="1" x14ac:dyDescent="0.2">
      <c r="A83" t="s">
        <v>150</v>
      </c>
      <c r="B83" t="s">
        <v>151</v>
      </c>
      <c r="C83" t="s">
        <v>94</v>
      </c>
      <c r="D83">
        <v>1</v>
      </c>
      <c r="E83" s="11" t="s">
        <v>152</v>
      </c>
      <c r="F83" t="s">
        <v>37</v>
      </c>
      <c r="G83" s="11" t="s">
        <v>155</v>
      </c>
      <c r="H83" t="s">
        <v>39</v>
      </c>
    </row>
    <row r="84" spans="1:9" ht="32" hidden="1" x14ac:dyDescent="0.2">
      <c r="A84" t="s">
        <v>150</v>
      </c>
      <c r="B84" t="s">
        <v>151</v>
      </c>
      <c r="C84" t="s">
        <v>94</v>
      </c>
      <c r="D84">
        <v>2</v>
      </c>
      <c r="E84" s="11" t="s">
        <v>153</v>
      </c>
      <c r="F84" t="s">
        <v>558</v>
      </c>
      <c r="G84" s="11" t="s">
        <v>556</v>
      </c>
      <c r="H84" t="s">
        <v>39</v>
      </c>
    </row>
    <row r="85" spans="1:9" ht="64" hidden="1" x14ac:dyDescent="0.2">
      <c r="A85" t="s">
        <v>150</v>
      </c>
      <c r="B85" t="s">
        <v>151</v>
      </c>
      <c r="C85" t="s">
        <v>94</v>
      </c>
      <c r="D85">
        <v>3</v>
      </c>
      <c r="E85" s="11" t="s">
        <v>154</v>
      </c>
      <c r="F85" t="s">
        <v>37</v>
      </c>
      <c r="G85" s="11" t="s">
        <v>573</v>
      </c>
      <c r="H85" t="s">
        <v>39</v>
      </c>
      <c r="I85" s="11" t="s">
        <v>574</v>
      </c>
    </row>
    <row r="86" spans="1:9" ht="160" hidden="1" x14ac:dyDescent="0.2">
      <c r="A86" t="s">
        <v>150</v>
      </c>
      <c r="B86" t="s">
        <v>151</v>
      </c>
      <c r="C86" t="s">
        <v>94</v>
      </c>
      <c r="D86">
        <v>4</v>
      </c>
      <c r="E86" s="11" t="s">
        <v>156</v>
      </c>
      <c r="F86" t="s">
        <v>37</v>
      </c>
      <c r="G86" s="11" t="s">
        <v>157</v>
      </c>
      <c r="H86" t="s">
        <v>39</v>
      </c>
    </row>
    <row r="87" spans="1:9" ht="192" hidden="1" x14ac:dyDescent="0.2">
      <c r="A87" t="s">
        <v>150</v>
      </c>
      <c r="B87" t="s">
        <v>151</v>
      </c>
      <c r="C87" t="s">
        <v>94</v>
      </c>
      <c r="D87">
        <v>5</v>
      </c>
      <c r="E87" s="11" t="s">
        <v>158</v>
      </c>
      <c r="F87" t="s">
        <v>37</v>
      </c>
      <c r="G87" s="11" t="s">
        <v>159</v>
      </c>
      <c r="H87" t="s">
        <v>39</v>
      </c>
    </row>
    <row r="88" spans="1:9" ht="64" hidden="1" x14ac:dyDescent="0.2">
      <c r="A88" t="s">
        <v>150</v>
      </c>
      <c r="B88" t="s">
        <v>151</v>
      </c>
      <c r="C88" t="s">
        <v>94</v>
      </c>
      <c r="D88">
        <v>6</v>
      </c>
      <c r="E88" s="11" t="s">
        <v>160</v>
      </c>
      <c r="F88" t="s">
        <v>37</v>
      </c>
      <c r="G88" s="11" t="s">
        <v>573</v>
      </c>
      <c r="H88" t="s">
        <v>39</v>
      </c>
    </row>
    <row r="89" spans="1:9" ht="48" hidden="1" x14ac:dyDescent="0.2">
      <c r="A89" t="s">
        <v>150</v>
      </c>
      <c r="B89" t="s">
        <v>151</v>
      </c>
      <c r="C89" t="s">
        <v>94</v>
      </c>
      <c r="D89">
        <v>7</v>
      </c>
      <c r="E89" s="11" t="s">
        <v>161</v>
      </c>
      <c r="F89" t="s">
        <v>37</v>
      </c>
      <c r="G89" s="11" t="s">
        <v>162</v>
      </c>
      <c r="H89" t="s">
        <v>39</v>
      </c>
    </row>
    <row r="90" spans="1:9" ht="176" hidden="1" x14ac:dyDescent="0.2">
      <c r="A90" t="s">
        <v>150</v>
      </c>
      <c r="B90" t="s">
        <v>151</v>
      </c>
      <c r="C90" t="s">
        <v>94</v>
      </c>
      <c r="D90">
        <v>8</v>
      </c>
      <c r="E90" s="11" t="s">
        <v>163</v>
      </c>
      <c r="F90" t="s">
        <v>37</v>
      </c>
      <c r="G90" s="11" t="s">
        <v>164</v>
      </c>
      <c r="H90" t="s">
        <v>39</v>
      </c>
    </row>
    <row r="91" spans="1:9" ht="32" hidden="1" x14ac:dyDescent="0.2">
      <c r="A91" t="s">
        <v>150</v>
      </c>
      <c r="B91" t="s">
        <v>151</v>
      </c>
      <c r="C91" t="s">
        <v>94</v>
      </c>
      <c r="D91">
        <v>9</v>
      </c>
      <c r="E91" s="11" t="s">
        <v>165</v>
      </c>
      <c r="F91" t="s">
        <v>558</v>
      </c>
      <c r="G91" s="11" t="s">
        <v>556</v>
      </c>
      <c r="H91" t="s">
        <v>39</v>
      </c>
      <c r="I91" s="11" t="s">
        <v>568</v>
      </c>
    </row>
    <row r="92" spans="1:9" ht="176" hidden="1" x14ac:dyDescent="0.2">
      <c r="A92" t="s">
        <v>150</v>
      </c>
      <c r="B92" t="s">
        <v>151</v>
      </c>
      <c r="C92" t="s">
        <v>94</v>
      </c>
      <c r="D92">
        <v>11</v>
      </c>
      <c r="E92" s="11" t="s">
        <v>166</v>
      </c>
      <c r="F92" t="s">
        <v>37</v>
      </c>
      <c r="G92" s="11" t="s">
        <v>164</v>
      </c>
      <c r="H92" t="s">
        <v>39</v>
      </c>
    </row>
    <row r="93" spans="1:9" ht="48" hidden="1" x14ac:dyDescent="0.2">
      <c r="A93" t="s">
        <v>150</v>
      </c>
      <c r="B93" t="s">
        <v>151</v>
      </c>
      <c r="C93" t="s">
        <v>94</v>
      </c>
      <c r="D93">
        <v>12</v>
      </c>
      <c r="E93" s="11" t="s">
        <v>167</v>
      </c>
      <c r="F93" t="s">
        <v>558</v>
      </c>
      <c r="G93" s="11" t="s">
        <v>556</v>
      </c>
      <c r="H93" t="s">
        <v>39</v>
      </c>
    </row>
    <row r="94" spans="1:9" ht="176" hidden="1" x14ac:dyDescent="0.2">
      <c r="A94" t="s">
        <v>150</v>
      </c>
      <c r="B94" t="s">
        <v>151</v>
      </c>
      <c r="C94" t="s">
        <v>94</v>
      </c>
      <c r="D94">
        <v>14</v>
      </c>
      <c r="E94" s="11" t="s">
        <v>168</v>
      </c>
      <c r="F94" t="s">
        <v>37</v>
      </c>
      <c r="G94" s="11" t="s">
        <v>164</v>
      </c>
      <c r="H94" t="s">
        <v>39</v>
      </c>
    </row>
    <row r="95" spans="1:9" ht="176" hidden="1" x14ac:dyDescent="0.2">
      <c r="A95" t="s">
        <v>150</v>
      </c>
      <c r="B95" t="s">
        <v>151</v>
      </c>
      <c r="C95" t="s">
        <v>94</v>
      </c>
      <c r="D95">
        <v>15</v>
      </c>
      <c r="E95" s="11" t="s">
        <v>169</v>
      </c>
      <c r="F95" t="s">
        <v>558</v>
      </c>
      <c r="G95" s="11" t="s">
        <v>164</v>
      </c>
      <c r="H95" t="s">
        <v>39</v>
      </c>
      <c r="I95" s="11" t="s">
        <v>575</v>
      </c>
    </row>
    <row r="96" spans="1:9" ht="48" hidden="1" x14ac:dyDescent="0.2">
      <c r="A96" t="s">
        <v>150</v>
      </c>
      <c r="B96" t="s">
        <v>151</v>
      </c>
      <c r="C96" t="s">
        <v>94</v>
      </c>
      <c r="D96">
        <v>16</v>
      </c>
      <c r="E96" s="11" t="s">
        <v>170</v>
      </c>
      <c r="F96" t="s">
        <v>101</v>
      </c>
      <c r="G96" s="11" t="s">
        <v>171</v>
      </c>
      <c r="H96" t="s">
        <v>39</v>
      </c>
    </row>
    <row r="97" spans="1:9" ht="176" hidden="1" x14ac:dyDescent="0.2">
      <c r="A97" t="s">
        <v>150</v>
      </c>
      <c r="B97" t="s">
        <v>151</v>
      </c>
      <c r="C97" t="s">
        <v>94</v>
      </c>
      <c r="D97">
        <v>17</v>
      </c>
      <c r="E97" s="11" t="s">
        <v>172</v>
      </c>
      <c r="F97" t="s">
        <v>37</v>
      </c>
      <c r="G97" s="11" t="s">
        <v>164</v>
      </c>
      <c r="H97" t="s">
        <v>39</v>
      </c>
    </row>
    <row r="98" spans="1:9" ht="32" hidden="1" x14ac:dyDescent="0.2">
      <c r="A98" t="s">
        <v>150</v>
      </c>
      <c r="B98" t="s">
        <v>151</v>
      </c>
      <c r="C98" t="s">
        <v>94</v>
      </c>
      <c r="D98">
        <v>18</v>
      </c>
      <c r="E98" s="11" t="s">
        <v>173</v>
      </c>
      <c r="F98" t="s">
        <v>558</v>
      </c>
      <c r="G98" s="11" t="s">
        <v>556</v>
      </c>
      <c r="H98" t="s">
        <v>39</v>
      </c>
      <c r="I98" s="11" t="s">
        <v>576</v>
      </c>
    </row>
    <row r="99" spans="1:9" ht="48" hidden="1" x14ac:dyDescent="0.2">
      <c r="A99" t="s">
        <v>150</v>
      </c>
      <c r="B99" t="s">
        <v>151</v>
      </c>
      <c r="C99" t="s">
        <v>94</v>
      </c>
      <c r="D99">
        <v>19</v>
      </c>
      <c r="E99" s="11" t="s">
        <v>174</v>
      </c>
      <c r="F99" t="s">
        <v>560</v>
      </c>
      <c r="G99" s="11" t="s">
        <v>565</v>
      </c>
      <c r="H99" t="s">
        <v>39</v>
      </c>
    </row>
    <row r="100" spans="1:9" ht="128" hidden="1" x14ac:dyDescent="0.2">
      <c r="A100" t="s">
        <v>150</v>
      </c>
      <c r="B100" t="s">
        <v>151</v>
      </c>
      <c r="C100" t="s">
        <v>94</v>
      </c>
      <c r="D100">
        <v>20</v>
      </c>
      <c r="E100" s="11" t="s">
        <v>175</v>
      </c>
      <c r="F100" t="s">
        <v>560</v>
      </c>
      <c r="G100" s="11" t="s">
        <v>176</v>
      </c>
      <c r="H100" t="s">
        <v>39</v>
      </c>
    </row>
    <row r="101" spans="1:9" ht="32" hidden="1" x14ac:dyDescent="0.2">
      <c r="A101" t="s">
        <v>150</v>
      </c>
      <c r="B101" t="s">
        <v>151</v>
      </c>
      <c r="C101" t="s">
        <v>94</v>
      </c>
      <c r="D101">
        <v>21</v>
      </c>
      <c r="E101" s="11" t="s">
        <v>177</v>
      </c>
      <c r="F101" t="s">
        <v>560</v>
      </c>
      <c r="G101" s="11" t="s">
        <v>565</v>
      </c>
      <c r="H101" t="s">
        <v>39</v>
      </c>
    </row>
    <row r="102" spans="1:9" ht="48" hidden="1" x14ac:dyDescent="0.2">
      <c r="A102" t="s">
        <v>150</v>
      </c>
      <c r="B102" t="s">
        <v>151</v>
      </c>
      <c r="C102" t="s">
        <v>94</v>
      </c>
      <c r="D102">
        <v>22</v>
      </c>
      <c r="E102" s="11" t="s">
        <v>178</v>
      </c>
      <c r="F102" t="s">
        <v>560</v>
      </c>
      <c r="G102" s="11" t="s">
        <v>565</v>
      </c>
      <c r="H102" t="s">
        <v>39</v>
      </c>
    </row>
    <row r="103" spans="1:9" ht="48" hidden="1" x14ac:dyDescent="0.2">
      <c r="A103" t="s">
        <v>150</v>
      </c>
      <c r="B103" t="s">
        <v>151</v>
      </c>
      <c r="C103" t="s">
        <v>94</v>
      </c>
      <c r="D103">
        <v>23</v>
      </c>
      <c r="E103" s="11" t="s">
        <v>179</v>
      </c>
      <c r="F103" t="s">
        <v>560</v>
      </c>
      <c r="G103" s="11" t="s">
        <v>565</v>
      </c>
      <c r="H103" t="s">
        <v>39</v>
      </c>
    </row>
    <row r="104" spans="1:9" ht="192" hidden="1" x14ac:dyDescent="0.2">
      <c r="A104" t="s">
        <v>180</v>
      </c>
      <c r="B104" t="s">
        <v>151</v>
      </c>
      <c r="C104" t="s">
        <v>94</v>
      </c>
      <c r="D104">
        <v>1</v>
      </c>
      <c r="E104" s="11" t="s">
        <v>181</v>
      </c>
      <c r="F104" t="s">
        <v>101</v>
      </c>
      <c r="G104" s="11" t="s">
        <v>159</v>
      </c>
      <c r="H104" t="s">
        <v>39</v>
      </c>
    </row>
    <row r="105" spans="1:9" ht="32" x14ac:dyDescent="0.2">
      <c r="A105" t="s">
        <v>180</v>
      </c>
      <c r="B105" t="s">
        <v>151</v>
      </c>
      <c r="C105" t="s">
        <v>94</v>
      </c>
      <c r="D105">
        <v>2</v>
      </c>
      <c r="E105" s="11" t="s">
        <v>182</v>
      </c>
      <c r="F105" t="s">
        <v>558</v>
      </c>
      <c r="G105" s="11" t="s">
        <v>556</v>
      </c>
      <c r="H105" t="s">
        <v>500</v>
      </c>
      <c r="I105" s="11" t="s">
        <v>577</v>
      </c>
    </row>
    <row r="106" spans="1:9" ht="192" hidden="1" x14ac:dyDescent="0.2">
      <c r="A106" t="s">
        <v>180</v>
      </c>
      <c r="B106" t="s">
        <v>151</v>
      </c>
      <c r="C106" t="s">
        <v>94</v>
      </c>
      <c r="D106">
        <v>3</v>
      </c>
      <c r="E106" s="11" t="s">
        <v>183</v>
      </c>
      <c r="F106" t="s">
        <v>44</v>
      </c>
      <c r="G106" s="11" t="s">
        <v>159</v>
      </c>
      <c r="H106" t="s">
        <v>39</v>
      </c>
    </row>
    <row r="107" spans="1:9" ht="192" hidden="1" x14ac:dyDescent="0.2">
      <c r="A107" t="s">
        <v>180</v>
      </c>
      <c r="B107" t="s">
        <v>151</v>
      </c>
      <c r="C107" t="s">
        <v>94</v>
      </c>
      <c r="D107">
        <v>4</v>
      </c>
      <c r="E107" s="11" t="s">
        <v>184</v>
      </c>
      <c r="F107" t="s">
        <v>37</v>
      </c>
      <c r="G107" s="11" t="s">
        <v>159</v>
      </c>
      <c r="H107" t="s">
        <v>39</v>
      </c>
    </row>
    <row r="108" spans="1:9" ht="48" hidden="1" x14ac:dyDescent="0.2">
      <c r="A108" t="s">
        <v>180</v>
      </c>
      <c r="B108" t="s">
        <v>151</v>
      </c>
      <c r="C108" t="s">
        <v>94</v>
      </c>
      <c r="D108">
        <v>5</v>
      </c>
      <c r="E108" s="11" t="s">
        <v>185</v>
      </c>
      <c r="F108" t="s">
        <v>37</v>
      </c>
      <c r="G108" s="11" t="s">
        <v>578</v>
      </c>
      <c r="H108" t="s">
        <v>39</v>
      </c>
    </row>
    <row r="109" spans="1:9" ht="192" hidden="1" x14ac:dyDescent="0.2">
      <c r="A109" t="s">
        <v>180</v>
      </c>
      <c r="B109" t="s">
        <v>151</v>
      </c>
      <c r="C109" t="s">
        <v>94</v>
      </c>
      <c r="D109">
        <v>6</v>
      </c>
      <c r="E109" s="11" t="s">
        <v>186</v>
      </c>
      <c r="F109" t="s">
        <v>37</v>
      </c>
      <c r="G109" s="11" t="s">
        <v>159</v>
      </c>
      <c r="H109" t="s">
        <v>39</v>
      </c>
    </row>
    <row r="110" spans="1:9" ht="160" hidden="1" x14ac:dyDescent="0.2">
      <c r="A110" t="s">
        <v>180</v>
      </c>
      <c r="B110" t="s">
        <v>151</v>
      </c>
      <c r="C110" t="s">
        <v>94</v>
      </c>
      <c r="D110">
        <v>7</v>
      </c>
      <c r="E110" s="11" t="s">
        <v>187</v>
      </c>
      <c r="F110" t="s">
        <v>37</v>
      </c>
      <c r="G110" s="11" t="s">
        <v>157</v>
      </c>
      <c r="H110" t="s">
        <v>39</v>
      </c>
    </row>
    <row r="111" spans="1:9" ht="128" hidden="1" x14ac:dyDescent="0.2">
      <c r="A111" t="s">
        <v>180</v>
      </c>
      <c r="B111" t="s">
        <v>151</v>
      </c>
      <c r="C111" t="s">
        <v>94</v>
      </c>
      <c r="D111">
        <v>9</v>
      </c>
      <c r="E111" s="11" t="s">
        <v>188</v>
      </c>
      <c r="G111" s="11" t="s">
        <v>176</v>
      </c>
      <c r="H111" t="s">
        <v>39</v>
      </c>
    </row>
    <row r="112" spans="1:9" ht="160" hidden="1" x14ac:dyDescent="0.2">
      <c r="A112" t="s">
        <v>180</v>
      </c>
      <c r="B112" t="s">
        <v>151</v>
      </c>
      <c r="C112" t="s">
        <v>94</v>
      </c>
      <c r="D112">
        <v>10</v>
      </c>
      <c r="E112" s="11" t="s">
        <v>189</v>
      </c>
      <c r="F112" t="s">
        <v>37</v>
      </c>
      <c r="G112" s="11" t="s">
        <v>157</v>
      </c>
      <c r="H112" t="s">
        <v>39</v>
      </c>
    </row>
    <row r="113" spans="1:9" ht="192" hidden="1" x14ac:dyDescent="0.2">
      <c r="A113" t="s">
        <v>180</v>
      </c>
      <c r="B113" t="s">
        <v>151</v>
      </c>
      <c r="C113" t="s">
        <v>94</v>
      </c>
      <c r="D113">
        <v>11</v>
      </c>
      <c r="E113" s="11" t="s">
        <v>190</v>
      </c>
      <c r="F113" t="s">
        <v>101</v>
      </c>
      <c r="G113" s="11" t="s">
        <v>191</v>
      </c>
      <c r="H113" t="s">
        <v>39</v>
      </c>
    </row>
    <row r="114" spans="1:9" ht="160" hidden="1" x14ac:dyDescent="0.2">
      <c r="A114" t="s">
        <v>180</v>
      </c>
      <c r="B114" t="s">
        <v>151</v>
      </c>
      <c r="C114" t="s">
        <v>94</v>
      </c>
      <c r="D114">
        <v>12</v>
      </c>
      <c r="E114" s="11" t="s">
        <v>192</v>
      </c>
      <c r="G114" s="11" t="s">
        <v>157</v>
      </c>
      <c r="H114" t="s">
        <v>39</v>
      </c>
    </row>
    <row r="115" spans="1:9" ht="160" hidden="1" x14ac:dyDescent="0.2">
      <c r="A115" t="s">
        <v>180</v>
      </c>
      <c r="B115" t="s">
        <v>151</v>
      </c>
      <c r="C115" t="s">
        <v>94</v>
      </c>
      <c r="D115">
        <v>14</v>
      </c>
      <c r="E115" s="11" t="s">
        <v>193</v>
      </c>
      <c r="F115" t="s">
        <v>101</v>
      </c>
      <c r="G115" s="11" t="s">
        <v>157</v>
      </c>
      <c r="H115" t="s">
        <v>39</v>
      </c>
    </row>
    <row r="116" spans="1:9" ht="160" hidden="1" x14ac:dyDescent="0.2">
      <c r="A116" t="s">
        <v>180</v>
      </c>
      <c r="B116" t="s">
        <v>151</v>
      </c>
      <c r="C116" t="s">
        <v>94</v>
      </c>
      <c r="D116">
        <v>15</v>
      </c>
      <c r="E116" s="11" t="s">
        <v>194</v>
      </c>
      <c r="G116" s="11" t="s">
        <v>157</v>
      </c>
      <c r="H116" t="s">
        <v>39</v>
      </c>
    </row>
    <row r="117" spans="1:9" ht="160" hidden="1" x14ac:dyDescent="0.2">
      <c r="A117" t="s">
        <v>180</v>
      </c>
      <c r="B117" t="s">
        <v>151</v>
      </c>
      <c r="C117" t="s">
        <v>94</v>
      </c>
      <c r="D117">
        <v>17</v>
      </c>
      <c r="E117" s="11" t="s">
        <v>195</v>
      </c>
      <c r="F117" t="s">
        <v>37</v>
      </c>
      <c r="G117" s="11" t="s">
        <v>157</v>
      </c>
      <c r="H117" t="s">
        <v>39</v>
      </c>
    </row>
    <row r="118" spans="1:9" ht="48" hidden="1" x14ac:dyDescent="0.2">
      <c r="A118" t="s">
        <v>180</v>
      </c>
      <c r="B118" t="s">
        <v>151</v>
      </c>
      <c r="C118" t="s">
        <v>94</v>
      </c>
      <c r="D118">
        <v>18</v>
      </c>
      <c r="E118" s="11" t="s">
        <v>196</v>
      </c>
      <c r="F118" t="s">
        <v>558</v>
      </c>
      <c r="G118" s="11" t="s">
        <v>556</v>
      </c>
      <c r="H118" t="s">
        <v>39</v>
      </c>
    </row>
    <row r="119" spans="1:9" ht="160" hidden="1" x14ac:dyDescent="0.2">
      <c r="A119" t="s">
        <v>180</v>
      </c>
      <c r="B119" t="s">
        <v>151</v>
      </c>
      <c r="C119" t="s">
        <v>94</v>
      </c>
      <c r="D119">
        <v>19</v>
      </c>
      <c r="E119" s="11" t="s">
        <v>197</v>
      </c>
      <c r="F119" t="s">
        <v>558</v>
      </c>
      <c r="G119" s="11" t="s">
        <v>157</v>
      </c>
      <c r="H119" t="s">
        <v>39</v>
      </c>
    </row>
    <row r="120" spans="1:9" ht="32" hidden="1" x14ac:dyDescent="0.2">
      <c r="A120" t="s">
        <v>180</v>
      </c>
      <c r="B120" t="s">
        <v>151</v>
      </c>
      <c r="C120" t="s">
        <v>94</v>
      </c>
      <c r="D120">
        <v>20</v>
      </c>
      <c r="E120" s="11" t="s">
        <v>198</v>
      </c>
      <c r="F120" t="s">
        <v>44</v>
      </c>
      <c r="G120" s="11" t="s">
        <v>556</v>
      </c>
      <c r="H120" t="s">
        <v>39</v>
      </c>
      <c r="I120" s="11" t="s">
        <v>568</v>
      </c>
    </row>
    <row r="121" spans="1:9" ht="48" hidden="1" x14ac:dyDescent="0.2">
      <c r="A121" t="s">
        <v>180</v>
      </c>
      <c r="B121" t="s">
        <v>151</v>
      </c>
      <c r="C121" t="s">
        <v>94</v>
      </c>
      <c r="D121">
        <v>21</v>
      </c>
      <c r="E121" s="11" t="s">
        <v>199</v>
      </c>
      <c r="F121" t="s">
        <v>560</v>
      </c>
      <c r="G121" s="11" t="s">
        <v>579</v>
      </c>
      <c r="H121" t="s">
        <v>39</v>
      </c>
    </row>
    <row r="122" spans="1:9" ht="32" hidden="1" x14ac:dyDescent="0.2">
      <c r="A122" t="s">
        <v>180</v>
      </c>
      <c r="B122" t="s">
        <v>151</v>
      </c>
      <c r="C122" t="s">
        <v>94</v>
      </c>
      <c r="D122">
        <v>22</v>
      </c>
      <c r="E122" s="11" t="s">
        <v>200</v>
      </c>
      <c r="F122" t="s">
        <v>560</v>
      </c>
      <c r="G122" s="11" t="s">
        <v>565</v>
      </c>
      <c r="H122" t="s">
        <v>39</v>
      </c>
    </row>
    <row r="123" spans="1:9" ht="32" hidden="1" x14ac:dyDescent="0.2">
      <c r="A123" t="s">
        <v>180</v>
      </c>
      <c r="B123" t="s">
        <v>151</v>
      </c>
      <c r="C123" t="s">
        <v>94</v>
      </c>
      <c r="D123">
        <v>23</v>
      </c>
      <c r="E123" s="11" t="s">
        <v>201</v>
      </c>
      <c r="F123" t="s">
        <v>560</v>
      </c>
      <c r="G123" s="11" t="s">
        <v>565</v>
      </c>
      <c r="H123" t="s">
        <v>39</v>
      </c>
    </row>
    <row r="124" spans="1:9" ht="64" hidden="1" x14ac:dyDescent="0.2">
      <c r="A124" t="s">
        <v>180</v>
      </c>
      <c r="B124" t="s">
        <v>151</v>
      </c>
      <c r="C124" t="s">
        <v>94</v>
      </c>
      <c r="D124">
        <v>24</v>
      </c>
      <c r="E124" s="11" t="s">
        <v>202</v>
      </c>
      <c r="F124" t="s">
        <v>560</v>
      </c>
      <c r="G124" s="11" t="s">
        <v>565</v>
      </c>
      <c r="H124" t="s">
        <v>39</v>
      </c>
    </row>
    <row r="125" spans="1:9" ht="32" hidden="1" x14ac:dyDescent="0.2">
      <c r="A125" t="s">
        <v>206</v>
      </c>
      <c r="B125" t="s">
        <v>207</v>
      </c>
      <c r="C125" t="s">
        <v>35</v>
      </c>
      <c r="D125">
        <v>1</v>
      </c>
      <c r="E125" s="11" t="s">
        <v>208</v>
      </c>
      <c r="F125" t="s">
        <v>37</v>
      </c>
      <c r="G125" s="11" t="s">
        <v>209</v>
      </c>
      <c r="H125" t="s">
        <v>39</v>
      </c>
    </row>
    <row r="126" spans="1:9" ht="32" hidden="1" x14ac:dyDescent="0.2">
      <c r="A126" t="s">
        <v>206</v>
      </c>
      <c r="B126" t="s">
        <v>207</v>
      </c>
      <c r="C126" t="s">
        <v>35</v>
      </c>
      <c r="D126">
        <v>2</v>
      </c>
      <c r="E126" s="11" t="s">
        <v>210</v>
      </c>
      <c r="F126" t="s">
        <v>558</v>
      </c>
      <c r="G126" s="11" t="s">
        <v>556</v>
      </c>
      <c r="H126" t="s">
        <v>39</v>
      </c>
      <c r="I126" s="11" t="s">
        <v>580</v>
      </c>
    </row>
    <row r="127" spans="1:9" ht="160" hidden="1" x14ac:dyDescent="0.2">
      <c r="A127" t="s">
        <v>206</v>
      </c>
      <c r="B127" t="s">
        <v>207</v>
      </c>
      <c r="C127" t="s">
        <v>35</v>
      </c>
      <c r="D127">
        <v>3</v>
      </c>
      <c r="E127" s="11" t="s">
        <v>211</v>
      </c>
      <c r="F127" t="s">
        <v>37</v>
      </c>
      <c r="G127" s="11" t="s">
        <v>212</v>
      </c>
      <c r="H127" t="s">
        <v>39</v>
      </c>
    </row>
    <row r="128" spans="1:9" ht="32" x14ac:dyDescent="0.2">
      <c r="A128" t="s">
        <v>206</v>
      </c>
      <c r="B128" t="s">
        <v>207</v>
      </c>
      <c r="C128" t="s">
        <v>35</v>
      </c>
      <c r="D128">
        <v>4</v>
      </c>
      <c r="E128" s="11" t="s">
        <v>213</v>
      </c>
      <c r="F128" t="s">
        <v>558</v>
      </c>
      <c r="G128" s="11" t="s">
        <v>556</v>
      </c>
      <c r="H128" t="s">
        <v>500</v>
      </c>
      <c r="I128" s="11" t="s">
        <v>581</v>
      </c>
    </row>
    <row r="129" spans="1:9" ht="176" hidden="1" x14ac:dyDescent="0.2">
      <c r="A129" t="s">
        <v>206</v>
      </c>
      <c r="B129" t="s">
        <v>207</v>
      </c>
      <c r="C129" t="s">
        <v>35</v>
      </c>
      <c r="D129">
        <v>5</v>
      </c>
      <c r="E129" s="11" t="s">
        <v>214</v>
      </c>
      <c r="F129" t="s">
        <v>37</v>
      </c>
      <c r="G129" s="11" t="s">
        <v>215</v>
      </c>
      <c r="H129" t="s">
        <v>39</v>
      </c>
    </row>
    <row r="130" spans="1:9" ht="32" hidden="1" x14ac:dyDescent="0.2">
      <c r="A130" t="s">
        <v>206</v>
      </c>
      <c r="B130" t="s">
        <v>207</v>
      </c>
      <c r="C130" t="s">
        <v>35</v>
      </c>
      <c r="D130">
        <v>6</v>
      </c>
      <c r="E130" s="11" t="s">
        <v>216</v>
      </c>
      <c r="F130" t="s">
        <v>37</v>
      </c>
      <c r="G130" s="11" t="s">
        <v>209</v>
      </c>
      <c r="H130" t="s">
        <v>39</v>
      </c>
    </row>
    <row r="131" spans="1:9" ht="32" hidden="1" x14ac:dyDescent="0.2">
      <c r="A131" t="s">
        <v>206</v>
      </c>
      <c r="B131" t="s">
        <v>207</v>
      </c>
      <c r="C131" t="s">
        <v>35</v>
      </c>
      <c r="D131">
        <v>7</v>
      </c>
      <c r="E131" s="11" t="s">
        <v>217</v>
      </c>
      <c r="F131" t="s">
        <v>37</v>
      </c>
      <c r="G131" s="11" t="s">
        <v>218</v>
      </c>
      <c r="H131" t="s">
        <v>39</v>
      </c>
    </row>
    <row r="132" spans="1:9" ht="32" hidden="1" x14ac:dyDescent="0.2">
      <c r="A132" t="s">
        <v>206</v>
      </c>
      <c r="B132" t="s">
        <v>207</v>
      </c>
      <c r="C132" t="s">
        <v>35</v>
      </c>
      <c r="D132">
        <v>8</v>
      </c>
      <c r="E132" s="11" t="s">
        <v>219</v>
      </c>
      <c r="F132" t="s">
        <v>37</v>
      </c>
      <c r="G132" s="11" t="s">
        <v>209</v>
      </c>
      <c r="H132" t="s">
        <v>39</v>
      </c>
    </row>
    <row r="133" spans="1:9" ht="160" hidden="1" x14ac:dyDescent="0.2">
      <c r="A133" t="s">
        <v>206</v>
      </c>
      <c r="B133" t="s">
        <v>207</v>
      </c>
      <c r="C133" t="s">
        <v>35</v>
      </c>
      <c r="D133">
        <v>9</v>
      </c>
      <c r="E133" s="11" t="s">
        <v>220</v>
      </c>
      <c r="F133" t="s">
        <v>37</v>
      </c>
      <c r="G133" s="11" t="s">
        <v>221</v>
      </c>
      <c r="H133" t="s">
        <v>39</v>
      </c>
    </row>
    <row r="134" spans="1:9" ht="32" hidden="1" x14ac:dyDescent="0.2">
      <c r="A134" t="s">
        <v>206</v>
      </c>
      <c r="B134" t="s">
        <v>207</v>
      </c>
      <c r="C134" t="s">
        <v>35</v>
      </c>
      <c r="D134">
        <v>10</v>
      </c>
      <c r="E134" s="11" t="s">
        <v>222</v>
      </c>
      <c r="F134" t="s">
        <v>558</v>
      </c>
      <c r="G134" s="11" t="s">
        <v>556</v>
      </c>
      <c r="H134" t="s">
        <v>39</v>
      </c>
    </row>
    <row r="135" spans="1:9" ht="224" hidden="1" x14ac:dyDescent="0.2">
      <c r="A135" t="s">
        <v>206</v>
      </c>
      <c r="B135" t="s">
        <v>207</v>
      </c>
      <c r="C135" t="s">
        <v>35</v>
      </c>
      <c r="D135">
        <v>12</v>
      </c>
      <c r="E135" s="11" t="s">
        <v>223</v>
      </c>
      <c r="F135" t="s">
        <v>101</v>
      </c>
      <c r="G135" s="11" t="s">
        <v>224</v>
      </c>
      <c r="H135" t="s">
        <v>39</v>
      </c>
    </row>
    <row r="136" spans="1:9" ht="224" x14ac:dyDescent="0.2">
      <c r="A136" t="s">
        <v>206</v>
      </c>
      <c r="B136" t="s">
        <v>207</v>
      </c>
      <c r="C136" t="s">
        <v>35</v>
      </c>
      <c r="D136">
        <v>13</v>
      </c>
      <c r="E136" s="11" t="s">
        <v>225</v>
      </c>
      <c r="F136" t="s">
        <v>558</v>
      </c>
      <c r="G136" s="11" t="s">
        <v>224</v>
      </c>
      <c r="H136" t="s">
        <v>500</v>
      </c>
      <c r="I136" s="11" t="s">
        <v>582</v>
      </c>
    </row>
    <row r="137" spans="1:9" ht="32" hidden="1" x14ac:dyDescent="0.2">
      <c r="A137" t="s">
        <v>206</v>
      </c>
      <c r="B137" t="s">
        <v>207</v>
      </c>
      <c r="C137" t="s">
        <v>35</v>
      </c>
      <c r="D137">
        <v>15</v>
      </c>
      <c r="E137" s="11" t="s">
        <v>226</v>
      </c>
      <c r="F137" t="s">
        <v>37</v>
      </c>
      <c r="G137" s="11" t="s">
        <v>563</v>
      </c>
      <c r="H137" t="s">
        <v>39</v>
      </c>
    </row>
    <row r="138" spans="1:9" ht="48" hidden="1" x14ac:dyDescent="0.2">
      <c r="A138" t="s">
        <v>206</v>
      </c>
      <c r="B138" t="s">
        <v>207</v>
      </c>
      <c r="C138" t="s">
        <v>35</v>
      </c>
      <c r="D138">
        <v>16</v>
      </c>
      <c r="E138" s="11" t="s">
        <v>227</v>
      </c>
      <c r="F138" t="s">
        <v>558</v>
      </c>
      <c r="G138" s="11" t="s">
        <v>556</v>
      </c>
      <c r="H138" t="s">
        <v>39</v>
      </c>
    </row>
    <row r="139" spans="1:9" ht="32" hidden="1" x14ac:dyDescent="0.2">
      <c r="A139" t="s">
        <v>206</v>
      </c>
      <c r="B139" t="s">
        <v>207</v>
      </c>
      <c r="C139" t="s">
        <v>35</v>
      </c>
      <c r="D139">
        <v>17</v>
      </c>
      <c r="E139" s="11" t="s">
        <v>228</v>
      </c>
      <c r="F139" t="s">
        <v>558</v>
      </c>
      <c r="G139" s="11" t="s">
        <v>556</v>
      </c>
      <c r="H139" t="s">
        <v>39</v>
      </c>
      <c r="I139" s="11" t="s">
        <v>580</v>
      </c>
    </row>
    <row r="140" spans="1:9" ht="48" hidden="1" x14ac:dyDescent="0.2">
      <c r="A140" t="s">
        <v>206</v>
      </c>
      <c r="B140" t="s">
        <v>207</v>
      </c>
      <c r="C140" t="s">
        <v>35</v>
      </c>
      <c r="D140">
        <v>18</v>
      </c>
      <c r="E140" s="11" t="s">
        <v>229</v>
      </c>
      <c r="F140" t="s">
        <v>558</v>
      </c>
      <c r="G140" s="11" t="s">
        <v>230</v>
      </c>
      <c r="H140" t="s">
        <v>39</v>
      </c>
      <c r="I140" s="11" t="s">
        <v>568</v>
      </c>
    </row>
    <row r="141" spans="1:9" ht="48" hidden="1" x14ac:dyDescent="0.2">
      <c r="A141" t="s">
        <v>206</v>
      </c>
      <c r="B141" t="s">
        <v>207</v>
      </c>
      <c r="C141" t="s">
        <v>35</v>
      </c>
      <c r="D141">
        <v>19</v>
      </c>
      <c r="E141" s="11" t="s">
        <v>231</v>
      </c>
      <c r="F141" t="s">
        <v>558</v>
      </c>
      <c r="G141" s="11" t="s">
        <v>556</v>
      </c>
      <c r="H141" t="s">
        <v>39</v>
      </c>
      <c r="I141" s="11" t="s">
        <v>581</v>
      </c>
    </row>
    <row r="142" spans="1:9" ht="48" hidden="1" x14ac:dyDescent="0.2">
      <c r="A142" t="s">
        <v>206</v>
      </c>
      <c r="B142" t="s">
        <v>207</v>
      </c>
      <c r="C142" t="s">
        <v>35</v>
      </c>
      <c r="D142">
        <v>20</v>
      </c>
      <c r="E142" s="11" t="s">
        <v>232</v>
      </c>
      <c r="F142" t="s">
        <v>560</v>
      </c>
      <c r="G142" s="11" t="s">
        <v>218</v>
      </c>
      <c r="H142" t="s">
        <v>39</v>
      </c>
      <c r="I142" s="11" t="s">
        <v>40</v>
      </c>
    </row>
    <row r="143" spans="1:9" ht="32" hidden="1" x14ac:dyDescent="0.2">
      <c r="A143" t="s">
        <v>206</v>
      </c>
      <c r="B143" t="s">
        <v>207</v>
      </c>
      <c r="C143" t="s">
        <v>35</v>
      </c>
      <c r="D143">
        <v>21</v>
      </c>
      <c r="E143" s="11" t="s">
        <v>233</v>
      </c>
      <c r="F143" t="s">
        <v>560</v>
      </c>
      <c r="G143" s="11" t="s">
        <v>565</v>
      </c>
      <c r="H143" t="s">
        <v>39</v>
      </c>
    </row>
    <row r="144" spans="1:9" ht="32" hidden="1" x14ac:dyDescent="0.2">
      <c r="A144" t="s">
        <v>206</v>
      </c>
      <c r="B144" t="s">
        <v>207</v>
      </c>
      <c r="C144" t="s">
        <v>35</v>
      </c>
      <c r="D144">
        <v>22</v>
      </c>
      <c r="E144" s="11" t="s">
        <v>234</v>
      </c>
      <c r="F144" t="s">
        <v>560</v>
      </c>
      <c r="G144" s="11" t="s">
        <v>565</v>
      </c>
      <c r="H144" t="s">
        <v>39</v>
      </c>
    </row>
    <row r="145" spans="1:9" ht="64" hidden="1" x14ac:dyDescent="0.2">
      <c r="A145" t="s">
        <v>206</v>
      </c>
      <c r="B145" t="s">
        <v>207</v>
      </c>
      <c r="C145" t="s">
        <v>35</v>
      </c>
      <c r="D145">
        <v>23</v>
      </c>
      <c r="E145" s="11" t="s">
        <v>235</v>
      </c>
      <c r="F145" t="s">
        <v>560</v>
      </c>
      <c r="G145" s="11" t="s">
        <v>565</v>
      </c>
      <c r="H145" t="s">
        <v>39</v>
      </c>
    </row>
    <row r="146" spans="1:9" ht="160" hidden="1" x14ac:dyDescent="0.2">
      <c r="A146" t="s">
        <v>236</v>
      </c>
      <c r="B146" t="s">
        <v>207</v>
      </c>
      <c r="C146" t="s">
        <v>35</v>
      </c>
      <c r="D146">
        <v>1</v>
      </c>
      <c r="E146" s="11" t="s">
        <v>237</v>
      </c>
      <c r="F146" t="s">
        <v>37</v>
      </c>
      <c r="G146" s="11" t="s">
        <v>212</v>
      </c>
      <c r="H146" t="s">
        <v>39</v>
      </c>
    </row>
    <row r="147" spans="1:9" ht="48" hidden="1" x14ac:dyDescent="0.2">
      <c r="A147" t="s">
        <v>236</v>
      </c>
      <c r="B147" t="s">
        <v>207</v>
      </c>
      <c r="C147" t="s">
        <v>35</v>
      </c>
      <c r="D147">
        <v>2</v>
      </c>
      <c r="E147" s="11" t="s">
        <v>238</v>
      </c>
      <c r="F147" t="s">
        <v>558</v>
      </c>
      <c r="G147" s="11" t="s">
        <v>556</v>
      </c>
      <c r="H147" t="s">
        <v>39</v>
      </c>
    </row>
    <row r="148" spans="1:9" ht="160" hidden="1" x14ac:dyDescent="0.2">
      <c r="A148" t="s">
        <v>236</v>
      </c>
      <c r="B148" t="s">
        <v>207</v>
      </c>
      <c r="C148" t="s">
        <v>35</v>
      </c>
      <c r="D148">
        <v>3</v>
      </c>
      <c r="E148" s="11" t="s">
        <v>239</v>
      </c>
      <c r="F148" t="s">
        <v>37</v>
      </c>
      <c r="G148" s="11" t="s">
        <v>212</v>
      </c>
      <c r="H148" t="s">
        <v>39</v>
      </c>
    </row>
    <row r="149" spans="1:9" ht="176" hidden="1" x14ac:dyDescent="0.2">
      <c r="A149" t="s">
        <v>236</v>
      </c>
      <c r="B149" t="s">
        <v>207</v>
      </c>
      <c r="C149" t="s">
        <v>35</v>
      </c>
      <c r="D149">
        <v>4</v>
      </c>
      <c r="E149" s="11" t="s">
        <v>240</v>
      </c>
      <c r="F149" t="s">
        <v>37</v>
      </c>
      <c r="G149" s="11" t="s">
        <v>215</v>
      </c>
      <c r="H149" t="s">
        <v>39</v>
      </c>
    </row>
    <row r="150" spans="1:9" ht="32" hidden="1" x14ac:dyDescent="0.2">
      <c r="A150" t="s">
        <v>236</v>
      </c>
      <c r="B150" t="s">
        <v>207</v>
      </c>
      <c r="C150" t="s">
        <v>35</v>
      </c>
      <c r="D150">
        <v>5</v>
      </c>
      <c r="E150" s="11" t="s">
        <v>241</v>
      </c>
      <c r="F150" t="s">
        <v>37</v>
      </c>
      <c r="G150" s="11" t="s">
        <v>209</v>
      </c>
      <c r="H150" t="s">
        <v>39</v>
      </c>
    </row>
    <row r="151" spans="1:9" ht="32" hidden="1" x14ac:dyDescent="0.2">
      <c r="A151" t="s">
        <v>236</v>
      </c>
      <c r="B151" t="s">
        <v>207</v>
      </c>
      <c r="C151" t="s">
        <v>35</v>
      </c>
      <c r="D151">
        <v>6</v>
      </c>
      <c r="E151" s="11" t="s">
        <v>242</v>
      </c>
      <c r="F151" t="s">
        <v>37</v>
      </c>
      <c r="G151" s="11" t="s">
        <v>243</v>
      </c>
      <c r="H151" t="s">
        <v>39</v>
      </c>
    </row>
    <row r="152" spans="1:9" ht="48" hidden="1" x14ac:dyDescent="0.2">
      <c r="A152" t="s">
        <v>236</v>
      </c>
      <c r="B152" t="s">
        <v>207</v>
      </c>
      <c r="C152" t="s">
        <v>35</v>
      </c>
      <c r="D152">
        <v>7</v>
      </c>
      <c r="E152" s="11" t="s">
        <v>244</v>
      </c>
      <c r="F152" t="s">
        <v>37</v>
      </c>
      <c r="G152" s="11" t="s">
        <v>218</v>
      </c>
      <c r="H152" t="s">
        <v>39</v>
      </c>
    </row>
    <row r="153" spans="1:9" ht="128" hidden="1" x14ac:dyDescent="0.2">
      <c r="A153" t="s">
        <v>236</v>
      </c>
      <c r="B153" t="s">
        <v>207</v>
      </c>
      <c r="C153" t="s">
        <v>35</v>
      </c>
      <c r="D153">
        <v>8</v>
      </c>
      <c r="E153" s="11" t="s">
        <v>245</v>
      </c>
      <c r="F153" t="s">
        <v>37</v>
      </c>
      <c r="G153" s="11" t="s">
        <v>246</v>
      </c>
      <c r="H153" t="s">
        <v>39</v>
      </c>
    </row>
    <row r="154" spans="1:9" ht="48" hidden="1" x14ac:dyDescent="0.2">
      <c r="A154" t="s">
        <v>236</v>
      </c>
      <c r="B154" t="s">
        <v>207</v>
      </c>
      <c r="C154" t="s">
        <v>35</v>
      </c>
      <c r="D154">
        <v>10</v>
      </c>
      <c r="E154" s="11" t="s">
        <v>247</v>
      </c>
      <c r="F154" t="s">
        <v>37</v>
      </c>
      <c r="G154" s="11" t="s">
        <v>248</v>
      </c>
      <c r="H154" t="s">
        <v>39</v>
      </c>
    </row>
    <row r="155" spans="1:9" ht="32" hidden="1" x14ac:dyDescent="0.2">
      <c r="A155" t="s">
        <v>236</v>
      </c>
      <c r="B155" t="s">
        <v>207</v>
      </c>
      <c r="C155" t="s">
        <v>35</v>
      </c>
      <c r="D155">
        <v>11</v>
      </c>
      <c r="E155" s="11" t="s">
        <v>249</v>
      </c>
      <c r="F155" t="s">
        <v>37</v>
      </c>
      <c r="G155" s="11" t="s">
        <v>563</v>
      </c>
      <c r="H155" t="s">
        <v>39</v>
      </c>
    </row>
    <row r="156" spans="1:9" ht="32" hidden="1" x14ac:dyDescent="0.2">
      <c r="A156" t="s">
        <v>236</v>
      </c>
      <c r="B156" t="s">
        <v>207</v>
      </c>
      <c r="C156" t="s">
        <v>35</v>
      </c>
      <c r="D156">
        <v>12</v>
      </c>
      <c r="E156" s="11" t="s">
        <v>250</v>
      </c>
      <c r="F156" t="s">
        <v>558</v>
      </c>
      <c r="G156" s="11" t="s">
        <v>556</v>
      </c>
      <c r="H156" t="s">
        <v>39</v>
      </c>
    </row>
    <row r="157" spans="1:9" ht="64" hidden="1" x14ac:dyDescent="0.2">
      <c r="A157" t="s">
        <v>236</v>
      </c>
      <c r="B157" t="s">
        <v>207</v>
      </c>
      <c r="C157" t="s">
        <v>35</v>
      </c>
      <c r="D157">
        <v>14</v>
      </c>
      <c r="E157" s="11" t="s">
        <v>251</v>
      </c>
      <c r="F157" t="s">
        <v>37</v>
      </c>
      <c r="G157" s="11" t="s">
        <v>218</v>
      </c>
      <c r="H157" t="s">
        <v>39</v>
      </c>
    </row>
    <row r="158" spans="1:9" ht="48" hidden="1" x14ac:dyDescent="0.2">
      <c r="A158" t="s">
        <v>236</v>
      </c>
      <c r="B158" t="s">
        <v>207</v>
      </c>
      <c r="C158" t="s">
        <v>35</v>
      </c>
      <c r="D158">
        <v>15</v>
      </c>
      <c r="E158" s="11" t="s">
        <v>252</v>
      </c>
      <c r="F158" t="s">
        <v>558</v>
      </c>
      <c r="G158" s="11" t="s">
        <v>556</v>
      </c>
      <c r="H158" t="s">
        <v>39</v>
      </c>
      <c r="I158" s="11" t="s">
        <v>581</v>
      </c>
    </row>
    <row r="159" spans="1:9" ht="32" hidden="1" x14ac:dyDescent="0.2">
      <c r="A159" t="s">
        <v>236</v>
      </c>
      <c r="B159" t="s">
        <v>207</v>
      </c>
      <c r="C159" t="s">
        <v>35</v>
      </c>
      <c r="D159">
        <v>16</v>
      </c>
      <c r="E159" s="11" t="s">
        <v>253</v>
      </c>
      <c r="F159" t="s">
        <v>558</v>
      </c>
      <c r="G159" s="11" t="s">
        <v>556</v>
      </c>
      <c r="H159" t="s">
        <v>39</v>
      </c>
      <c r="I159" s="11" t="s">
        <v>568</v>
      </c>
    </row>
    <row r="160" spans="1:9" ht="48" hidden="1" x14ac:dyDescent="0.2">
      <c r="A160" t="s">
        <v>236</v>
      </c>
      <c r="B160" t="s">
        <v>207</v>
      </c>
      <c r="C160" t="s">
        <v>35</v>
      </c>
      <c r="D160">
        <v>17</v>
      </c>
      <c r="E160" s="11" t="s">
        <v>254</v>
      </c>
      <c r="F160" t="s">
        <v>558</v>
      </c>
      <c r="G160" s="11" t="s">
        <v>556</v>
      </c>
      <c r="H160" t="s">
        <v>39</v>
      </c>
    </row>
    <row r="161" spans="1:8" ht="32" hidden="1" x14ac:dyDescent="0.2">
      <c r="A161" t="s">
        <v>236</v>
      </c>
      <c r="B161" t="s">
        <v>207</v>
      </c>
      <c r="C161" t="s">
        <v>35</v>
      </c>
      <c r="D161">
        <v>18</v>
      </c>
      <c r="E161" s="11" t="s">
        <v>255</v>
      </c>
      <c r="F161" t="s">
        <v>560</v>
      </c>
      <c r="G161" s="11" t="s">
        <v>565</v>
      </c>
      <c r="H161" t="s">
        <v>39</v>
      </c>
    </row>
    <row r="162" spans="1:8" ht="48" hidden="1" x14ac:dyDescent="0.2">
      <c r="A162" t="s">
        <v>236</v>
      </c>
      <c r="B162" t="s">
        <v>207</v>
      </c>
      <c r="C162" t="s">
        <v>35</v>
      </c>
      <c r="D162">
        <v>19</v>
      </c>
      <c r="E162" s="11" t="s">
        <v>256</v>
      </c>
      <c r="F162" t="s">
        <v>560</v>
      </c>
      <c r="G162" s="11" t="s">
        <v>565</v>
      </c>
      <c r="H162" t="s">
        <v>39</v>
      </c>
    </row>
    <row r="163" spans="1:8" ht="32" hidden="1" x14ac:dyDescent="0.2">
      <c r="A163" t="s">
        <v>236</v>
      </c>
      <c r="B163" t="s">
        <v>207</v>
      </c>
      <c r="C163" t="s">
        <v>35</v>
      </c>
      <c r="D163">
        <v>20</v>
      </c>
      <c r="E163" s="11" t="s">
        <v>257</v>
      </c>
      <c r="F163" t="s">
        <v>560</v>
      </c>
      <c r="G163" s="11" t="s">
        <v>565</v>
      </c>
      <c r="H163" t="s">
        <v>39</v>
      </c>
    </row>
    <row r="164" spans="1:8" ht="32" hidden="1" x14ac:dyDescent="0.2">
      <c r="A164" t="s">
        <v>236</v>
      </c>
      <c r="B164" t="s">
        <v>207</v>
      </c>
      <c r="C164" t="s">
        <v>35</v>
      </c>
      <c r="D164">
        <v>21</v>
      </c>
      <c r="E164" s="11" t="s">
        <v>258</v>
      </c>
      <c r="F164" t="s">
        <v>560</v>
      </c>
      <c r="G164" s="11" t="s">
        <v>565</v>
      </c>
      <c r="H164" t="s">
        <v>39</v>
      </c>
    </row>
    <row r="165" spans="1:8" ht="48" hidden="1" x14ac:dyDescent="0.2">
      <c r="A165" t="s">
        <v>259</v>
      </c>
      <c r="B165" t="s">
        <v>260</v>
      </c>
      <c r="C165" t="s">
        <v>35</v>
      </c>
      <c r="D165">
        <v>1</v>
      </c>
      <c r="E165" s="11" t="s">
        <v>261</v>
      </c>
      <c r="F165" t="s">
        <v>37</v>
      </c>
      <c r="G165" s="11" t="s">
        <v>262</v>
      </c>
      <c r="H165" t="s">
        <v>39</v>
      </c>
    </row>
    <row r="166" spans="1:8" ht="32" x14ac:dyDescent="0.2">
      <c r="A166" t="s">
        <v>259</v>
      </c>
      <c r="B166" t="s">
        <v>260</v>
      </c>
      <c r="C166" t="s">
        <v>35</v>
      </c>
      <c r="D166">
        <v>2</v>
      </c>
      <c r="E166" s="11" t="s">
        <v>263</v>
      </c>
      <c r="F166" t="s">
        <v>558</v>
      </c>
      <c r="G166" s="11" t="s">
        <v>556</v>
      </c>
      <c r="H166" t="s">
        <v>500</v>
      </c>
    </row>
    <row r="167" spans="1:8" ht="128" hidden="1" x14ac:dyDescent="0.2">
      <c r="A167" t="s">
        <v>259</v>
      </c>
      <c r="B167" t="s">
        <v>260</v>
      </c>
      <c r="C167" t="s">
        <v>35</v>
      </c>
      <c r="D167">
        <v>3</v>
      </c>
      <c r="E167" s="11" t="s">
        <v>264</v>
      </c>
      <c r="F167" t="s">
        <v>37</v>
      </c>
      <c r="G167" s="11" t="s">
        <v>265</v>
      </c>
      <c r="H167" t="s">
        <v>39</v>
      </c>
    </row>
    <row r="168" spans="1:8" ht="128" hidden="1" x14ac:dyDescent="0.2">
      <c r="A168" t="s">
        <v>259</v>
      </c>
      <c r="B168" t="s">
        <v>260</v>
      </c>
      <c r="C168" t="s">
        <v>35</v>
      </c>
      <c r="D168">
        <v>4</v>
      </c>
      <c r="E168" s="11" t="s">
        <v>266</v>
      </c>
      <c r="F168" t="s">
        <v>37</v>
      </c>
      <c r="G168" s="11" t="s">
        <v>265</v>
      </c>
      <c r="H168" t="s">
        <v>39</v>
      </c>
    </row>
    <row r="169" spans="1:8" ht="48" hidden="1" x14ac:dyDescent="0.2">
      <c r="A169" t="s">
        <v>259</v>
      </c>
      <c r="B169" t="s">
        <v>260</v>
      </c>
      <c r="C169" t="s">
        <v>35</v>
      </c>
      <c r="D169">
        <v>5</v>
      </c>
      <c r="E169" s="11" t="s">
        <v>267</v>
      </c>
      <c r="F169" t="s">
        <v>37</v>
      </c>
      <c r="G169" s="11" t="s">
        <v>262</v>
      </c>
      <c r="H169" t="s">
        <v>39</v>
      </c>
    </row>
    <row r="170" spans="1:8" ht="128" hidden="1" x14ac:dyDescent="0.2">
      <c r="A170" t="s">
        <v>259</v>
      </c>
      <c r="B170" t="s">
        <v>260</v>
      </c>
      <c r="C170" t="s">
        <v>35</v>
      </c>
      <c r="D170">
        <v>6</v>
      </c>
      <c r="E170" s="11" t="s">
        <v>268</v>
      </c>
      <c r="F170" t="s">
        <v>37</v>
      </c>
      <c r="G170" s="11" t="s">
        <v>265</v>
      </c>
      <c r="H170" t="s">
        <v>39</v>
      </c>
    </row>
    <row r="171" spans="1:8" ht="80" hidden="1" x14ac:dyDescent="0.2">
      <c r="A171" t="s">
        <v>259</v>
      </c>
      <c r="B171" t="s">
        <v>260</v>
      </c>
      <c r="C171" t="s">
        <v>35</v>
      </c>
      <c r="D171">
        <v>7</v>
      </c>
      <c r="E171" s="11" t="s">
        <v>269</v>
      </c>
      <c r="F171" t="s">
        <v>37</v>
      </c>
      <c r="G171" s="11" t="s">
        <v>270</v>
      </c>
      <c r="H171" t="s">
        <v>39</v>
      </c>
    </row>
    <row r="172" spans="1:8" ht="48" hidden="1" x14ac:dyDescent="0.2">
      <c r="A172" t="s">
        <v>259</v>
      </c>
      <c r="B172" t="s">
        <v>260</v>
      </c>
      <c r="C172" t="s">
        <v>35</v>
      </c>
      <c r="D172">
        <v>8</v>
      </c>
      <c r="E172" s="11" t="s">
        <v>271</v>
      </c>
      <c r="F172" t="s">
        <v>37</v>
      </c>
      <c r="G172" s="11" t="s">
        <v>272</v>
      </c>
      <c r="H172" t="s">
        <v>39</v>
      </c>
    </row>
    <row r="173" spans="1:8" ht="96" hidden="1" x14ac:dyDescent="0.2">
      <c r="A173" t="s">
        <v>259</v>
      </c>
      <c r="B173" t="s">
        <v>260</v>
      </c>
      <c r="C173" t="s">
        <v>35</v>
      </c>
      <c r="D173">
        <v>9</v>
      </c>
      <c r="E173" s="11" t="s">
        <v>273</v>
      </c>
      <c r="F173" t="s">
        <v>37</v>
      </c>
      <c r="G173" s="11" t="s">
        <v>274</v>
      </c>
      <c r="H173" t="s">
        <v>39</v>
      </c>
    </row>
    <row r="174" spans="1:8" ht="48" hidden="1" x14ac:dyDescent="0.2">
      <c r="A174" t="s">
        <v>259</v>
      </c>
      <c r="B174" t="s">
        <v>260</v>
      </c>
      <c r="C174" t="s">
        <v>35</v>
      </c>
      <c r="D174">
        <v>10</v>
      </c>
      <c r="E174" s="11" t="s">
        <v>275</v>
      </c>
      <c r="F174" t="s">
        <v>37</v>
      </c>
      <c r="G174" s="11" t="s">
        <v>262</v>
      </c>
      <c r="H174" t="s">
        <v>39</v>
      </c>
    </row>
    <row r="175" spans="1:8" ht="32" hidden="1" x14ac:dyDescent="0.2">
      <c r="A175" t="s">
        <v>259</v>
      </c>
      <c r="B175" t="s">
        <v>260</v>
      </c>
      <c r="C175" t="s">
        <v>35</v>
      </c>
      <c r="D175">
        <v>11</v>
      </c>
      <c r="E175" s="11" t="s">
        <v>276</v>
      </c>
      <c r="F175" t="s">
        <v>37</v>
      </c>
      <c r="G175" s="11" t="s">
        <v>277</v>
      </c>
      <c r="H175" t="s">
        <v>39</v>
      </c>
    </row>
    <row r="176" spans="1:8" ht="128" hidden="1" x14ac:dyDescent="0.2">
      <c r="A176" t="s">
        <v>259</v>
      </c>
      <c r="B176" t="s">
        <v>260</v>
      </c>
      <c r="C176" t="s">
        <v>35</v>
      </c>
      <c r="D176">
        <v>12</v>
      </c>
      <c r="E176" s="11" t="s">
        <v>278</v>
      </c>
      <c r="F176" t="s">
        <v>558</v>
      </c>
      <c r="G176" s="11" t="s">
        <v>265</v>
      </c>
      <c r="H176" t="s">
        <v>39</v>
      </c>
    </row>
    <row r="177" spans="1:8" ht="48" hidden="1" x14ac:dyDescent="0.2">
      <c r="A177" t="s">
        <v>259</v>
      </c>
      <c r="B177" t="s">
        <v>260</v>
      </c>
      <c r="C177" t="s">
        <v>35</v>
      </c>
      <c r="D177">
        <v>15</v>
      </c>
      <c r="E177" s="11" t="s">
        <v>279</v>
      </c>
      <c r="F177" t="s">
        <v>37</v>
      </c>
      <c r="G177" s="11" t="s">
        <v>583</v>
      </c>
      <c r="H177" t="s">
        <v>39</v>
      </c>
    </row>
    <row r="178" spans="1:8" ht="32" hidden="1" x14ac:dyDescent="0.2">
      <c r="A178" t="s">
        <v>259</v>
      </c>
      <c r="B178" t="s">
        <v>260</v>
      </c>
      <c r="C178" t="s">
        <v>35</v>
      </c>
      <c r="D178">
        <v>16</v>
      </c>
      <c r="E178" s="11" t="s">
        <v>280</v>
      </c>
      <c r="F178" t="s">
        <v>558</v>
      </c>
      <c r="G178" s="11" t="s">
        <v>583</v>
      </c>
      <c r="H178" t="s">
        <v>39</v>
      </c>
    </row>
    <row r="179" spans="1:8" ht="64" hidden="1" x14ac:dyDescent="0.2">
      <c r="A179" t="s">
        <v>259</v>
      </c>
      <c r="B179" t="s">
        <v>260</v>
      </c>
      <c r="C179" t="s">
        <v>35</v>
      </c>
      <c r="D179">
        <v>17</v>
      </c>
      <c r="E179" s="11" t="s">
        <v>281</v>
      </c>
      <c r="F179" t="s">
        <v>558</v>
      </c>
      <c r="G179" s="11" t="s">
        <v>282</v>
      </c>
      <c r="H179" t="s">
        <v>39</v>
      </c>
    </row>
    <row r="180" spans="1:8" ht="48" hidden="1" x14ac:dyDescent="0.2">
      <c r="A180" t="s">
        <v>259</v>
      </c>
      <c r="B180" t="s">
        <v>260</v>
      </c>
      <c r="C180" t="s">
        <v>35</v>
      </c>
      <c r="D180">
        <v>18</v>
      </c>
      <c r="E180" s="11" t="s">
        <v>283</v>
      </c>
      <c r="F180" t="s">
        <v>558</v>
      </c>
      <c r="G180" s="11" t="s">
        <v>556</v>
      </c>
      <c r="H180" t="s">
        <v>39</v>
      </c>
    </row>
    <row r="181" spans="1:8" ht="32" hidden="1" x14ac:dyDescent="0.2">
      <c r="A181" t="s">
        <v>259</v>
      </c>
      <c r="B181" t="s">
        <v>260</v>
      </c>
      <c r="C181" t="s">
        <v>35</v>
      </c>
      <c r="D181">
        <v>19</v>
      </c>
      <c r="E181" s="11" t="s">
        <v>284</v>
      </c>
      <c r="F181" t="s">
        <v>560</v>
      </c>
      <c r="G181" s="11" t="s">
        <v>565</v>
      </c>
      <c r="H181" t="s">
        <v>39</v>
      </c>
    </row>
    <row r="182" spans="1:8" ht="64" hidden="1" x14ac:dyDescent="0.2">
      <c r="A182" t="s">
        <v>259</v>
      </c>
      <c r="B182" t="s">
        <v>260</v>
      </c>
      <c r="C182" t="s">
        <v>35</v>
      </c>
      <c r="D182">
        <v>20</v>
      </c>
      <c r="E182" s="11" t="s">
        <v>285</v>
      </c>
      <c r="F182" t="s">
        <v>560</v>
      </c>
      <c r="G182" s="11" t="s">
        <v>565</v>
      </c>
      <c r="H182" t="s">
        <v>39</v>
      </c>
    </row>
    <row r="183" spans="1:8" ht="16" hidden="1" x14ac:dyDescent="0.2">
      <c r="A183" t="s">
        <v>259</v>
      </c>
      <c r="B183" t="s">
        <v>260</v>
      </c>
      <c r="C183" t="s">
        <v>35</v>
      </c>
      <c r="D183">
        <v>21</v>
      </c>
      <c r="E183" s="11" t="s">
        <v>286</v>
      </c>
      <c r="F183" t="s">
        <v>560</v>
      </c>
      <c r="G183" s="11" t="s">
        <v>287</v>
      </c>
      <c r="H183" t="s">
        <v>39</v>
      </c>
    </row>
    <row r="184" spans="1:8" ht="32" hidden="1" x14ac:dyDescent="0.2">
      <c r="A184" t="s">
        <v>259</v>
      </c>
      <c r="B184" t="s">
        <v>260</v>
      </c>
      <c r="C184" t="s">
        <v>35</v>
      </c>
      <c r="D184">
        <v>22</v>
      </c>
      <c r="E184" s="11" t="s">
        <v>288</v>
      </c>
      <c r="F184" t="s">
        <v>560</v>
      </c>
      <c r="G184" s="11" t="s">
        <v>569</v>
      </c>
      <c r="H184" t="s">
        <v>39</v>
      </c>
    </row>
    <row r="185" spans="1:8" ht="48" hidden="1" x14ac:dyDescent="0.2">
      <c r="A185" t="s">
        <v>289</v>
      </c>
      <c r="B185" t="s">
        <v>260</v>
      </c>
      <c r="C185" t="s">
        <v>35</v>
      </c>
      <c r="D185">
        <v>1</v>
      </c>
      <c r="E185" s="11" t="s">
        <v>290</v>
      </c>
      <c r="F185" t="s">
        <v>37</v>
      </c>
      <c r="G185" s="11" t="s">
        <v>262</v>
      </c>
      <c r="H185" t="s">
        <v>39</v>
      </c>
    </row>
    <row r="186" spans="1:8" ht="32" hidden="1" x14ac:dyDescent="0.2">
      <c r="A186" t="s">
        <v>289</v>
      </c>
      <c r="B186" t="s">
        <v>260</v>
      </c>
      <c r="C186" t="s">
        <v>35</v>
      </c>
      <c r="D186">
        <v>2</v>
      </c>
      <c r="E186" s="11" t="s">
        <v>291</v>
      </c>
      <c r="F186" t="s">
        <v>558</v>
      </c>
      <c r="G186" s="11" t="s">
        <v>556</v>
      </c>
      <c r="H186" t="s">
        <v>39</v>
      </c>
    </row>
    <row r="187" spans="1:8" ht="80" hidden="1" x14ac:dyDescent="0.2">
      <c r="A187" t="s">
        <v>289</v>
      </c>
      <c r="B187" t="s">
        <v>260</v>
      </c>
      <c r="C187" t="s">
        <v>35</v>
      </c>
      <c r="D187">
        <v>3</v>
      </c>
      <c r="E187" s="11" t="s">
        <v>292</v>
      </c>
      <c r="F187" t="s">
        <v>37</v>
      </c>
      <c r="G187" s="11" t="s">
        <v>262</v>
      </c>
      <c r="H187" t="s">
        <v>39</v>
      </c>
    </row>
    <row r="188" spans="1:8" ht="64" hidden="1" x14ac:dyDescent="0.2">
      <c r="A188" t="s">
        <v>289</v>
      </c>
      <c r="B188" t="s">
        <v>260</v>
      </c>
      <c r="C188" t="s">
        <v>35</v>
      </c>
      <c r="D188">
        <v>4</v>
      </c>
      <c r="E188" s="11" t="s">
        <v>293</v>
      </c>
      <c r="F188" t="s">
        <v>37</v>
      </c>
      <c r="G188" s="11" t="s">
        <v>294</v>
      </c>
      <c r="H188" t="s">
        <v>39</v>
      </c>
    </row>
    <row r="189" spans="1:8" ht="48" hidden="1" x14ac:dyDescent="0.2">
      <c r="A189" t="s">
        <v>289</v>
      </c>
      <c r="B189" t="s">
        <v>260</v>
      </c>
      <c r="C189" t="s">
        <v>35</v>
      </c>
      <c r="D189">
        <v>5</v>
      </c>
      <c r="E189" s="11" t="s">
        <v>295</v>
      </c>
      <c r="F189" t="s">
        <v>37</v>
      </c>
      <c r="G189" s="11" t="s">
        <v>262</v>
      </c>
      <c r="H189" t="s">
        <v>39</v>
      </c>
    </row>
    <row r="190" spans="1:8" ht="48" hidden="1" x14ac:dyDescent="0.2">
      <c r="A190" t="s">
        <v>289</v>
      </c>
      <c r="B190" t="s">
        <v>260</v>
      </c>
      <c r="C190" t="s">
        <v>35</v>
      </c>
      <c r="D190">
        <v>6</v>
      </c>
      <c r="E190" s="11" t="s">
        <v>296</v>
      </c>
      <c r="F190" t="s">
        <v>44</v>
      </c>
      <c r="G190" s="11" t="s">
        <v>262</v>
      </c>
      <c r="H190" t="s">
        <v>39</v>
      </c>
    </row>
    <row r="191" spans="1:8" ht="96" hidden="1" x14ac:dyDescent="0.2">
      <c r="A191" t="s">
        <v>289</v>
      </c>
      <c r="B191" t="s">
        <v>260</v>
      </c>
      <c r="C191" t="s">
        <v>35</v>
      </c>
      <c r="D191">
        <v>7</v>
      </c>
      <c r="E191" s="11" t="s">
        <v>297</v>
      </c>
      <c r="F191" t="s">
        <v>37</v>
      </c>
      <c r="G191" s="11" t="s">
        <v>298</v>
      </c>
      <c r="H191" t="s">
        <v>39</v>
      </c>
    </row>
    <row r="192" spans="1:8" ht="48" hidden="1" x14ac:dyDescent="0.2">
      <c r="A192" t="s">
        <v>289</v>
      </c>
      <c r="B192" t="s">
        <v>260</v>
      </c>
      <c r="C192" t="s">
        <v>35</v>
      </c>
      <c r="D192">
        <v>8</v>
      </c>
      <c r="E192" s="11" t="s">
        <v>299</v>
      </c>
      <c r="F192" t="s">
        <v>37</v>
      </c>
      <c r="G192" s="11" t="s">
        <v>262</v>
      </c>
      <c r="H192" t="s">
        <v>39</v>
      </c>
    </row>
    <row r="193" spans="1:9" ht="48" hidden="1" x14ac:dyDescent="0.2">
      <c r="A193" t="s">
        <v>289</v>
      </c>
      <c r="B193" t="s">
        <v>260</v>
      </c>
      <c r="C193" t="s">
        <v>35</v>
      </c>
      <c r="D193">
        <v>10</v>
      </c>
      <c r="E193" s="11" t="s">
        <v>300</v>
      </c>
      <c r="F193" t="s">
        <v>37</v>
      </c>
      <c r="G193" s="11" t="s">
        <v>277</v>
      </c>
      <c r="H193" t="s">
        <v>39</v>
      </c>
    </row>
    <row r="194" spans="1:9" ht="64" hidden="1" x14ac:dyDescent="0.2">
      <c r="A194" t="s">
        <v>289</v>
      </c>
      <c r="B194" t="s">
        <v>260</v>
      </c>
      <c r="C194" t="s">
        <v>35</v>
      </c>
      <c r="D194">
        <v>11</v>
      </c>
      <c r="E194" s="11" t="s">
        <v>301</v>
      </c>
      <c r="F194" t="s">
        <v>558</v>
      </c>
      <c r="G194" s="11" t="s">
        <v>262</v>
      </c>
      <c r="H194" t="s">
        <v>39</v>
      </c>
    </row>
    <row r="195" spans="1:9" ht="32" hidden="1" x14ac:dyDescent="0.2">
      <c r="A195" t="s">
        <v>289</v>
      </c>
      <c r="B195" t="s">
        <v>260</v>
      </c>
      <c r="C195" t="s">
        <v>35</v>
      </c>
      <c r="D195">
        <v>12</v>
      </c>
      <c r="E195" s="11" t="s">
        <v>302</v>
      </c>
      <c r="F195" t="s">
        <v>101</v>
      </c>
      <c r="G195" s="11" t="s">
        <v>563</v>
      </c>
      <c r="H195" t="s">
        <v>39</v>
      </c>
    </row>
    <row r="196" spans="1:9" ht="144" hidden="1" x14ac:dyDescent="0.2">
      <c r="A196" t="s">
        <v>289</v>
      </c>
      <c r="B196" t="s">
        <v>260</v>
      </c>
      <c r="C196" t="s">
        <v>35</v>
      </c>
      <c r="D196">
        <v>13</v>
      </c>
      <c r="E196" s="11" t="s">
        <v>303</v>
      </c>
      <c r="F196" t="s">
        <v>37</v>
      </c>
      <c r="G196" s="11" t="s">
        <v>304</v>
      </c>
      <c r="H196" t="s">
        <v>39</v>
      </c>
    </row>
    <row r="197" spans="1:9" ht="160" hidden="1" x14ac:dyDescent="0.2">
      <c r="A197" t="s">
        <v>289</v>
      </c>
      <c r="B197" t="s">
        <v>260</v>
      </c>
      <c r="C197" t="s">
        <v>35</v>
      </c>
      <c r="D197">
        <v>14</v>
      </c>
      <c r="E197" s="11" t="s">
        <v>305</v>
      </c>
      <c r="F197" t="s">
        <v>37</v>
      </c>
      <c r="G197" s="11" t="s">
        <v>306</v>
      </c>
      <c r="H197" t="s">
        <v>39</v>
      </c>
    </row>
    <row r="198" spans="1:9" ht="192" hidden="1" x14ac:dyDescent="0.2">
      <c r="A198" t="s">
        <v>289</v>
      </c>
      <c r="B198" t="s">
        <v>260</v>
      </c>
      <c r="C198" t="s">
        <v>35</v>
      </c>
      <c r="D198">
        <v>15</v>
      </c>
      <c r="E198" s="11" t="s">
        <v>307</v>
      </c>
      <c r="G198" s="11" t="s">
        <v>584</v>
      </c>
      <c r="H198" t="s">
        <v>39</v>
      </c>
    </row>
    <row r="199" spans="1:9" ht="32" hidden="1" x14ac:dyDescent="0.2">
      <c r="A199" t="s">
        <v>289</v>
      </c>
      <c r="B199" t="s">
        <v>260</v>
      </c>
      <c r="C199" t="s">
        <v>35</v>
      </c>
      <c r="D199">
        <v>16</v>
      </c>
      <c r="E199" s="11" t="s">
        <v>308</v>
      </c>
      <c r="F199" t="s">
        <v>558</v>
      </c>
      <c r="G199" s="11" t="s">
        <v>556</v>
      </c>
      <c r="H199" t="s">
        <v>39</v>
      </c>
      <c r="I199" s="11" t="s">
        <v>580</v>
      </c>
    </row>
    <row r="200" spans="1:9" ht="32" hidden="1" x14ac:dyDescent="0.2">
      <c r="A200" t="s">
        <v>289</v>
      </c>
      <c r="B200" t="s">
        <v>260</v>
      </c>
      <c r="C200" t="s">
        <v>35</v>
      </c>
      <c r="D200">
        <v>17</v>
      </c>
      <c r="E200" s="11" t="s">
        <v>309</v>
      </c>
      <c r="F200" t="s">
        <v>558</v>
      </c>
      <c r="G200" s="11" t="s">
        <v>556</v>
      </c>
      <c r="H200" t="s">
        <v>39</v>
      </c>
    </row>
    <row r="201" spans="1:9" ht="32" hidden="1" x14ac:dyDescent="0.2">
      <c r="A201" t="s">
        <v>289</v>
      </c>
      <c r="B201" t="s">
        <v>260</v>
      </c>
      <c r="C201" t="s">
        <v>35</v>
      </c>
      <c r="D201">
        <v>18</v>
      </c>
      <c r="E201" s="11" t="s">
        <v>310</v>
      </c>
      <c r="F201" t="s">
        <v>558</v>
      </c>
      <c r="G201" s="11" t="s">
        <v>556</v>
      </c>
      <c r="H201" t="s">
        <v>39</v>
      </c>
    </row>
    <row r="202" spans="1:9" ht="48" hidden="1" x14ac:dyDescent="0.2">
      <c r="A202" t="s">
        <v>289</v>
      </c>
      <c r="B202" t="s">
        <v>260</v>
      </c>
      <c r="C202" t="s">
        <v>35</v>
      </c>
      <c r="D202">
        <v>19</v>
      </c>
      <c r="E202" s="11" t="s">
        <v>311</v>
      </c>
      <c r="F202" t="s">
        <v>558</v>
      </c>
      <c r="G202" s="11" t="s">
        <v>585</v>
      </c>
      <c r="H202" t="s">
        <v>39</v>
      </c>
    </row>
    <row r="203" spans="1:9" ht="32" hidden="1" x14ac:dyDescent="0.2">
      <c r="A203" t="s">
        <v>289</v>
      </c>
      <c r="B203" t="s">
        <v>260</v>
      </c>
      <c r="C203" t="s">
        <v>35</v>
      </c>
      <c r="D203">
        <v>20</v>
      </c>
      <c r="E203" s="11" t="s">
        <v>312</v>
      </c>
      <c r="F203" t="s">
        <v>560</v>
      </c>
      <c r="G203" s="11" t="s">
        <v>287</v>
      </c>
      <c r="H203" t="s">
        <v>39</v>
      </c>
    </row>
    <row r="204" spans="1:9" ht="64" hidden="1" x14ac:dyDescent="0.2">
      <c r="A204" t="s">
        <v>289</v>
      </c>
      <c r="B204" t="s">
        <v>260</v>
      </c>
      <c r="C204" t="s">
        <v>35</v>
      </c>
      <c r="D204">
        <v>21</v>
      </c>
      <c r="E204" s="11" t="s">
        <v>313</v>
      </c>
      <c r="F204" t="s">
        <v>560</v>
      </c>
      <c r="G204" s="11" t="s">
        <v>565</v>
      </c>
      <c r="H204" t="s">
        <v>39</v>
      </c>
    </row>
    <row r="205" spans="1:9" ht="32" hidden="1" x14ac:dyDescent="0.2">
      <c r="A205" t="s">
        <v>289</v>
      </c>
      <c r="B205" t="s">
        <v>260</v>
      </c>
      <c r="C205" t="s">
        <v>35</v>
      </c>
      <c r="D205">
        <v>22</v>
      </c>
      <c r="E205" s="11" t="s">
        <v>314</v>
      </c>
      <c r="F205" t="s">
        <v>560</v>
      </c>
      <c r="G205" s="11" t="s">
        <v>565</v>
      </c>
      <c r="H205" t="s">
        <v>39</v>
      </c>
    </row>
    <row r="206" spans="1:9" ht="48" hidden="1" x14ac:dyDescent="0.2">
      <c r="A206" t="s">
        <v>289</v>
      </c>
      <c r="B206" t="s">
        <v>260</v>
      </c>
      <c r="C206" t="s">
        <v>35</v>
      </c>
      <c r="D206">
        <v>23</v>
      </c>
      <c r="E206" s="11" t="s">
        <v>315</v>
      </c>
      <c r="F206" t="s">
        <v>560</v>
      </c>
      <c r="G206" s="11" t="s">
        <v>565</v>
      </c>
      <c r="H206" t="s">
        <v>39</v>
      </c>
    </row>
    <row r="207" spans="1:9" ht="32" hidden="1" x14ac:dyDescent="0.2">
      <c r="A207" t="s">
        <v>316</v>
      </c>
      <c r="B207" t="s">
        <v>317</v>
      </c>
      <c r="C207" t="s">
        <v>35</v>
      </c>
      <c r="D207">
        <v>1</v>
      </c>
      <c r="E207" s="11" t="s">
        <v>318</v>
      </c>
      <c r="F207" t="s">
        <v>37</v>
      </c>
      <c r="G207" s="11" t="s">
        <v>321</v>
      </c>
      <c r="H207" t="s">
        <v>39</v>
      </c>
    </row>
    <row r="208" spans="1:9" ht="32" hidden="1" x14ac:dyDescent="0.2">
      <c r="A208" t="s">
        <v>316</v>
      </c>
      <c r="B208" t="s">
        <v>317</v>
      </c>
      <c r="C208" t="s">
        <v>35</v>
      </c>
      <c r="D208">
        <v>2</v>
      </c>
      <c r="E208" s="11" t="s">
        <v>319</v>
      </c>
      <c r="F208" t="s">
        <v>558</v>
      </c>
      <c r="G208" s="11" t="s">
        <v>556</v>
      </c>
      <c r="H208" t="s">
        <v>39</v>
      </c>
    </row>
    <row r="209" spans="1:9" ht="48" hidden="1" x14ac:dyDescent="0.2">
      <c r="A209" t="s">
        <v>316</v>
      </c>
      <c r="B209" t="s">
        <v>317</v>
      </c>
      <c r="C209" t="s">
        <v>35</v>
      </c>
      <c r="D209">
        <v>4</v>
      </c>
      <c r="E209" s="11" t="s">
        <v>320</v>
      </c>
      <c r="F209" t="s">
        <v>37</v>
      </c>
      <c r="G209" s="11" t="s">
        <v>321</v>
      </c>
      <c r="H209" t="s">
        <v>39</v>
      </c>
    </row>
    <row r="210" spans="1:9" ht="32" hidden="1" x14ac:dyDescent="0.2">
      <c r="A210" t="s">
        <v>316</v>
      </c>
      <c r="B210" t="s">
        <v>317</v>
      </c>
      <c r="C210" t="s">
        <v>35</v>
      </c>
      <c r="D210">
        <v>5</v>
      </c>
      <c r="E210" s="11" t="s">
        <v>322</v>
      </c>
      <c r="F210" t="s">
        <v>37</v>
      </c>
      <c r="G210" s="11" t="s">
        <v>321</v>
      </c>
      <c r="H210" t="s">
        <v>39</v>
      </c>
    </row>
    <row r="211" spans="1:9" ht="32" hidden="1" x14ac:dyDescent="0.2">
      <c r="A211" t="s">
        <v>316</v>
      </c>
      <c r="B211" t="s">
        <v>317</v>
      </c>
      <c r="C211" t="s">
        <v>35</v>
      </c>
      <c r="D211">
        <v>6</v>
      </c>
      <c r="E211" s="11" t="s">
        <v>323</v>
      </c>
      <c r="F211" t="s">
        <v>37</v>
      </c>
      <c r="G211" s="11" t="s">
        <v>321</v>
      </c>
      <c r="H211" t="s">
        <v>39</v>
      </c>
    </row>
    <row r="212" spans="1:9" ht="32" hidden="1" x14ac:dyDescent="0.2">
      <c r="A212" t="s">
        <v>316</v>
      </c>
      <c r="B212" t="s">
        <v>317</v>
      </c>
      <c r="C212" t="s">
        <v>35</v>
      </c>
      <c r="D212">
        <v>7</v>
      </c>
      <c r="E212" s="11" t="s">
        <v>324</v>
      </c>
      <c r="F212" t="s">
        <v>37</v>
      </c>
      <c r="G212" s="11" t="s">
        <v>563</v>
      </c>
      <c r="H212" t="s">
        <v>39</v>
      </c>
    </row>
    <row r="213" spans="1:9" ht="32" hidden="1" x14ac:dyDescent="0.2">
      <c r="A213" t="s">
        <v>316</v>
      </c>
      <c r="B213" t="s">
        <v>317</v>
      </c>
      <c r="C213" t="s">
        <v>35</v>
      </c>
      <c r="D213">
        <v>8</v>
      </c>
      <c r="E213" s="11" t="s">
        <v>325</v>
      </c>
      <c r="F213" t="s">
        <v>37</v>
      </c>
      <c r="G213" s="11" t="s">
        <v>321</v>
      </c>
      <c r="H213" t="s">
        <v>39</v>
      </c>
    </row>
    <row r="214" spans="1:9" ht="32" hidden="1" x14ac:dyDescent="0.2">
      <c r="A214" t="s">
        <v>316</v>
      </c>
      <c r="B214" t="s">
        <v>317</v>
      </c>
      <c r="C214" t="s">
        <v>35</v>
      </c>
      <c r="D214">
        <v>9</v>
      </c>
      <c r="E214" s="11" t="s">
        <v>326</v>
      </c>
      <c r="F214" t="s">
        <v>37</v>
      </c>
      <c r="G214" s="11" t="s">
        <v>327</v>
      </c>
      <c r="H214" t="s">
        <v>39</v>
      </c>
    </row>
    <row r="215" spans="1:9" ht="32" hidden="1" x14ac:dyDescent="0.2">
      <c r="A215" t="s">
        <v>316</v>
      </c>
      <c r="B215" t="s">
        <v>317</v>
      </c>
      <c r="C215" t="s">
        <v>35</v>
      </c>
      <c r="D215">
        <v>11</v>
      </c>
      <c r="E215" s="11" t="s">
        <v>328</v>
      </c>
      <c r="F215" t="s">
        <v>37</v>
      </c>
      <c r="G215" s="11" t="s">
        <v>329</v>
      </c>
      <c r="H215" t="s">
        <v>39</v>
      </c>
    </row>
    <row r="216" spans="1:9" ht="48" hidden="1" x14ac:dyDescent="0.2">
      <c r="A216" t="s">
        <v>316</v>
      </c>
      <c r="B216" t="s">
        <v>317</v>
      </c>
      <c r="C216" t="s">
        <v>35</v>
      </c>
      <c r="D216">
        <v>12</v>
      </c>
      <c r="E216" s="11" t="s">
        <v>330</v>
      </c>
      <c r="F216" t="s">
        <v>37</v>
      </c>
      <c r="G216" s="11" t="s">
        <v>321</v>
      </c>
      <c r="H216" t="s">
        <v>39</v>
      </c>
    </row>
    <row r="217" spans="1:9" ht="128" hidden="1" x14ac:dyDescent="0.2">
      <c r="A217" t="s">
        <v>316</v>
      </c>
      <c r="B217" t="s">
        <v>317</v>
      </c>
      <c r="C217" t="s">
        <v>35</v>
      </c>
      <c r="D217">
        <v>14</v>
      </c>
      <c r="E217" s="11" t="s">
        <v>331</v>
      </c>
      <c r="F217" t="s">
        <v>37</v>
      </c>
      <c r="G217" s="11" t="s">
        <v>332</v>
      </c>
      <c r="H217" t="s">
        <v>39</v>
      </c>
    </row>
    <row r="218" spans="1:9" ht="32" hidden="1" x14ac:dyDescent="0.2">
      <c r="A218" t="s">
        <v>316</v>
      </c>
      <c r="B218" t="s">
        <v>317</v>
      </c>
      <c r="C218" t="s">
        <v>35</v>
      </c>
      <c r="D218">
        <v>15</v>
      </c>
      <c r="E218" s="11" t="s">
        <v>333</v>
      </c>
      <c r="F218" t="s">
        <v>37</v>
      </c>
      <c r="G218" s="11" t="s">
        <v>334</v>
      </c>
      <c r="H218" t="s">
        <v>39</v>
      </c>
    </row>
    <row r="219" spans="1:9" ht="128" hidden="1" x14ac:dyDescent="0.2">
      <c r="A219" t="s">
        <v>316</v>
      </c>
      <c r="B219" t="s">
        <v>317</v>
      </c>
      <c r="C219" t="s">
        <v>35</v>
      </c>
      <c r="D219">
        <v>16</v>
      </c>
      <c r="E219" s="11" t="s">
        <v>335</v>
      </c>
      <c r="F219" t="s">
        <v>37</v>
      </c>
      <c r="G219" s="11" t="s">
        <v>332</v>
      </c>
      <c r="H219" t="s">
        <v>39</v>
      </c>
    </row>
    <row r="220" spans="1:9" ht="128" hidden="1" x14ac:dyDescent="0.2">
      <c r="A220" t="s">
        <v>316</v>
      </c>
      <c r="B220" t="s">
        <v>317</v>
      </c>
      <c r="C220" t="s">
        <v>35</v>
      </c>
      <c r="D220">
        <v>17</v>
      </c>
      <c r="E220" s="11" t="s">
        <v>336</v>
      </c>
      <c r="F220" t="s">
        <v>37</v>
      </c>
      <c r="G220" s="11" t="s">
        <v>332</v>
      </c>
      <c r="H220" t="s">
        <v>39</v>
      </c>
    </row>
    <row r="221" spans="1:9" ht="48" hidden="1" x14ac:dyDescent="0.2">
      <c r="A221" t="s">
        <v>316</v>
      </c>
      <c r="B221" t="s">
        <v>317</v>
      </c>
      <c r="C221" t="s">
        <v>35</v>
      </c>
      <c r="D221">
        <v>18</v>
      </c>
      <c r="E221" s="11" t="s">
        <v>337</v>
      </c>
      <c r="F221" t="s">
        <v>37</v>
      </c>
      <c r="G221" s="11" t="s">
        <v>338</v>
      </c>
      <c r="H221" t="s">
        <v>39</v>
      </c>
    </row>
    <row r="222" spans="1:9" ht="128" hidden="1" x14ac:dyDescent="0.2">
      <c r="A222" t="s">
        <v>316</v>
      </c>
      <c r="B222" t="s">
        <v>317</v>
      </c>
      <c r="C222" t="s">
        <v>35</v>
      </c>
      <c r="D222">
        <v>19</v>
      </c>
      <c r="E222" s="11" t="s">
        <v>339</v>
      </c>
      <c r="F222" t="s">
        <v>558</v>
      </c>
      <c r="G222" s="11" t="s">
        <v>332</v>
      </c>
      <c r="H222" t="s">
        <v>39</v>
      </c>
    </row>
    <row r="223" spans="1:9" ht="32" hidden="1" x14ac:dyDescent="0.2">
      <c r="A223" t="s">
        <v>316</v>
      </c>
      <c r="B223" t="s">
        <v>317</v>
      </c>
      <c r="C223" t="s">
        <v>35</v>
      </c>
      <c r="D223">
        <v>20</v>
      </c>
      <c r="E223" s="11" t="s">
        <v>340</v>
      </c>
      <c r="F223" t="s">
        <v>558</v>
      </c>
      <c r="G223" s="11" t="s">
        <v>556</v>
      </c>
      <c r="H223" t="s">
        <v>39</v>
      </c>
      <c r="I223" s="11" t="s">
        <v>581</v>
      </c>
    </row>
    <row r="224" spans="1:9" ht="32" hidden="1" x14ac:dyDescent="0.2">
      <c r="A224" t="s">
        <v>316</v>
      </c>
      <c r="B224" t="s">
        <v>317</v>
      </c>
      <c r="C224" t="s">
        <v>35</v>
      </c>
      <c r="D224">
        <v>21</v>
      </c>
      <c r="E224" s="11" t="s">
        <v>341</v>
      </c>
      <c r="F224" t="s">
        <v>558</v>
      </c>
      <c r="G224" s="11" t="s">
        <v>556</v>
      </c>
      <c r="H224" t="s">
        <v>39</v>
      </c>
    </row>
    <row r="225" spans="1:9" ht="48" hidden="1" x14ac:dyDescent="0.2">
      <c r="A225" t="s">
        <v>316</v>
      </c>
      <c r="B225" t="s">
        <v>317</v>
      </c>
      <c r="C225" t="s">
        <v>35</v>
      </c>
      <c r="D225">
        <v>22</v>
      </c>
      <c r="E225" s="11" t="s">
        <v>342</v>
      </c>
      <c r="F225" t="s">
        <v>558</v>
      </c>
      <c r="G225" s="11" t="s">
        <v>556</v>
      </c>
      <c r="H225" t="s">
        <v>39</v>
      </c>
      <c r="I225" s="11" t="s">
        <v>586</v>
      </c>
    </row>
    <row r="226" spans="1:9" ht="48" hidden="1" x14ac:dyDescent="0.2">
      <c r="A226" t="s">
        <v>316</v>
      </c>
      <c r="B226" t="s">
        <v>317</v>
      </c>
      <c r="C226" t="s">
        <v>35</v>
      </c>
      <c r="D226">
        <v>23</v>
      </c>
      <c r="E226" s="11" t="s">
        <v>343</v>
      </c>
      <c r="F226" t="s">
        <v>560</v>
      </c>
      <c r="G226" s="11" t="s">
        <v>587</v>
      </c>
      <c r="H226" t="s">
        <v>39</v>
      </c>
    </row>
    <row r="227" spans="1:9" ht="48" hidden="1" x14ac:dyDescent="0.2">
      <c r="A227" t="s">
        <v>316</v>
      </c>
      <c r="B227" t="s">
        <v>317</v>
      </c>
      <c r="C227" t="s">
        <v>35</v>
      </c>
      <c r="D227">
        <v>24</v>
      </c>
      <c r="E227" s="11" t="s">
        <v>344</v>
      </c>
      <c r="F227" t="s">
        <v>560</v>
      </c>
      <c r="G227" s="11" t="s">
        <v>565</v>
      </c>
      <c r="H227" t="s">
        <v>39</v>
      </c>
    </row>
    <row r="228" spans="1:9" ht="32" hidden="1" x14ac:dyDescent="0.2">
      <c r="A228" t="s">
        <v>316</v>
      </c>
      <c r="B228" t="s">
        <v>317</v>
      </c>
      <c r="C228" t="s">
        <v>35</v>
      </c>
      <c r="D228">
        <v>25</v>
      </c>
      <c r="E228" s="11" t="s">
        <v>345</v>
      </c>
      <c r="F228" t="s">
        <v>560</v>
      </c>
      <c r="G228" s="11" t="s">
        <v>565</v>
      </c>
      <c r="H228" t="s">
        <v>39</v>
      </c>
    </row>
    <row r="229" spans="1:9" ht="64" hidden="1" x14ac:dyDescent="0.2">
      <c r="A229" t="s">
        <v>316</v>
      </c>
      <c r="B229" t="s">
        <v>317</v>
      </c>
      <c r="C229" t="s">
        <v>35</v>
      </c>
      <c r="D229">
        <v>26</v>
      </c>
      <c r="E229" s="11" t="s">
        <v>346</v>
      </c>
      <c r="F229" t="s">
        <v>560</v>
      </c>
      <c r="G229" s="11" t="s">
        <v>565</v>
      </c>
      <c r="H229" t="s">
        <v>39</v>
      </c>
    </row>
    <row r="230" spans="1:9" ht="32" hidden="1" x14ac:dyDescent="0.2">
      <c r="A230" t="s">
        <v>347</v>
      </c>
      <c r="B230" t="s">
        <v>317</v>
      </c>
      <c r="C230" t="s">
        <v>35</v>
      </c>
      <c r="D230">
        <v>1</v>
      </c>
      <c r="E230" s="11" t="s">
        <v>348</v>
      </c>
      <c r="F230" t="s">
        <v>37</v>
      </c>
      <c r="G230" s="11" t="s">
        <v>321</v>
      </c>
      <c r="H230" t="s">
        <v>39</v>
      </c>
    </row>
    <row r="231" spans="1:9" ht="48" hidden="1" x14ac:dyDescent="0.2">
      <c r="A231" t="s">
        <v>347</v>
      </c>
      <c r="B231" t="s">
        <v>317</v>
      </c>
      <c r="C231" t="s">
        <v>35</v>
      </c>
      <c r="D231">
        <v>2</v>
      </c>
      <c r="E231" s="11" t="s">
        <v>349</v>
      </c>
      <c r="F231" t="s">
        <v>558</v>
      </c>
      <c r="G231" s="11" t="s">
        <v>565</v>
      </c>
      <c r="H231" t="s">
        <v>39</v>
      </c>
    </row>
    <row r="232" spans="1:9" ht="32" hidden="1" x14ac:dyDescent="0.2">
      <c r="A232" t="s">
        <v>347</v>
      </c>
      <c r="B232" t="s">
        <v>317</v>
      </c>
      <c r="C232" t="s">
        <v>35</v>
      </c>
      <c r="D232">
        <v>3</v>
      </c>
      <c r="E232" s="11" t="s">
        <v>350</v>
      </c>
      <c r="F232" t="s">
        <v>37</v>
      </c>
      <c r="G232" s="11" t="s">
        <v>321</v>
      </c>
      <c r="H232" t="s">
        <v>39</v>
      </c>
    </row>
    <row r="233" spans="1:9" ht="32" hidden="1" x14ac:dyDescent="0.2">
      <c r="A233" t="s">
        <v>347</v>
      </c>
      <c r="B233" t="s">
        <v>317</v>
      </c>
      <c r="C233" t="s">
        <v>35</v>
      </c>
      <c r="D233">
        <v>4</v>
      </c>
      <c r="E233" s="11" t="s">
        <v>351</v>
      </c>
      <c r="F233" t="s">
        <v>37</v>
      </c>
      <c r="G233" s="11" t="s">
        <v>321</v>
      </c>
      <c r="H233" t="s">
        <v>39</v>
      </c>
    </row>
    <row r="234" spans="1:9" ht="32" hidden="1" x14ac:dyDescent="0.2">
      <c r="A234" t="s">
        <v>347</v>
      </c>
      <c r="B234" t="s">
        <v>317</v>
      </c>
      <c r="C234" t="s">
        <v>35</v>
      </c>
      <c r="D234">
        <v>5</v>
      </c>
      <c r="E234" s="11" t="s">
        <v>352</v>
      </c>
      <c r="F234" t="s">
        <v>37</v>
      </c>
      <c r="G234" s="11" t="s">
        <v>321</v>
      </c>
      <c r="H234" t="s">
        <v>39</v>
      </c>
    </row>
    <row r="235" spans="1:9" ht="48" hidden="1" x14ac:dyDescent="0.2">
      <c r="A235" t="s">
        <v>347</v>
      </c>
      <c r="B235" t="s">
        <v>317</v>
      </c>
      <c r="C235" t="s">
        <v>35</v>
      </c>
      <c r="D235">
        <v>6</v>
      </c>
      <c r="E235" s="11" t="s">
        <v>353</v>
      </c>
      <c r="F235" t="s">
        <v>37</v>
      </c>
      <c r="G235" s="11" t="s">
        <v>321</v>
      </c>
      <c r="H235" t="s">
        <v>39</v>
      </c>
    </row>
    <row r="236" spans="1:9" ht="48" hidden="1" x14ac:dyDescent="0.2">
      <c r="A236" t="s">
        <v>347</v>
      </c>
      <c r="B236" t="s">
        <v>317</v>
      </c>
      <c r="C236" t="s">
        <v>35</v>
      </c>
      <c r="D236">
        <v>7</v>
      </c>
      <c r="E236" s="11" t="s">
        <v>354</v>
      </c>
      <c r="F236" t="s">
        <v>37</v>
      </c>
      <c r="G236" s="11" t="s">
        <v>563</v>
      </c>
      <c r="H236" t="s">
        <v>39</v>
      </c>
    </row>
    <row r="237" spans="1:9" ht="64" hidden="1" x14ac:dyDescent="0.2">
      <c r="A237" t="s">
        <v>347</v>
      </c>
      <c r="B237" t="s">
        <v>317</v>
      </c>
      <c r="C237" t="s">
        <v>35</v>
      </c>
      <c r="D237">
        <v>8</v>
      </c>
      <c r="E237" s="11" t="s">
        <v>355</v>
      </c>
      <c r="F237" t="s">
        <v>37</v>
      </c>
      <c r="G237" s="11" t="s">
        <v>356</v>
      </c>
      <c r="H237" t="s">
        <v>39</v>
      </c>
    </row>
    <row r="238" spans="1:9" ht="64" hidden="1" x14ac:dyDescent="0.2">
      <c r="A238" t="s">
        <v>347</v>
      </c>
      <c r="B238" t="s">
        <v>317</v>
      </c>
      <c r="C238" t="s">
        <v>35</v>
      </c>
      <c r="D238">
        <v>9</v>
      </c>
      <c r="E238" s="11" t="s">
        <v>357</v>
      </c>
      <c r="F238" t="s">
        <v>37</v>
      </c>
      <c r="G238" s="11" t="s">
        <v>321</v>
      </c>
      <c r="H238" t="s">
        <v>39</v>
      </c>
    </row>
    <row r="239" spans="1:9" ht="208" hidden="1" x14ac:dyDescent="0.2">
      <c r="A239" t="s">
        <v>347</v>
      </c>
      <c r="B239" t="s">
        <v>317</v>
      </c>
      <c r="C239" t="s">
        <v>35</v>
      </c>
      <c r="D239">
        <v>10</v>
      </c>
      <c r="E239" s="11" t="s">
        <v>358</v>
      </c>
      <c r="F239" t="s">
        <v>101</v>
      </c>
      <c r="G239" s="11" t="s">
        <v>359</v>
      </c>
      <c r="H239" t="s">
        <v>39</v>
      </c>
    </row>
    <row r="240" spans="1:9" ht="48" hidden="1" x14ac:dyDescent="0.2">
      <c r="A240" t="s">
        <v>347</v>
      </c>
      <c r="B240" t="s">
        <v>317</v>
      </c>
      <c r="C240" t="s">
        <v>35</v>
      </c>
      <c r="D240">
        <v>11</v>
      </c>
      <c r="E240" s="11" t="s">
        <v>360</v>
      </c>
      <c r="F240" t="s">
        <v>37</v>
      </c>
      <c r="G240" s="11" t="s">
        <v>361</v>
      </c>
      <c r="H240" t="s">
        <v>39</v>
      </c>
    </row>
    <row r="241" spans="1:8" ht="208" hidden="1" x14ac:dyDescent="0.2">
      <c r="A241" t="s">
        <v>347</v>
      </c>
      <c r="B241" t="s">
        <v>317</v>
      </c>
      <c r="C241" t="s">
        <v>35</v>
      </c>
      <c r="D241">
        <v>12</v>
      </c>
      <c r="E241" s="11" t="s">
        <v>362</v>
      </c>
      <c r="F241" t="s">
        <v>37</v>
      </c>
      <c r="G241" s="11" t="s">
        <v>359</v>
      </c>
      <c r="H241" t="s">
        <v>39</v>
      </c>
    </row>
    <row r="242" spans="1:8" ht="64" hidden="1" x14ac:dyDescent="0.2">
      <c r="A242" t="s">
        <v>347</v>
      </c>
      <c r="B242" t="s">
        <v>317</v>
      </c>
      <c r="C242" t="s">
        <v>35</v>
      </c>
      <c r="D242">
        <v>14</v>
      </c>
      <c r="E242" s="11" t="s">
        <v>363</v>
      </c>
      <c r="F242" t="s">
        <v>37</v>
      </c>
      <c r="G242" s="11" t="s">
        <v>364</v>
      </c>
      <c r="H242" t="s">
        <v>39</v>
      </c>
    </row>
    <row r="243" spans="1:8" ht="112" hidden="1" x14ac:dyDescent="0.2">
      <c r="A243" t="s">
        <v>347</v>
      </c>
      <c r="B243" t="s">
        <v>317</v>
      </c>
      <c r="C243" t="s">
        <v>35</v>
      </c>
      <c r="D243">
        <v>15</v>
      </c>
      <c r="E243" s="11" t="s">
        <v>365</v>
      </c>
      <c r="F243" t="s">
        <v>37</v>
      </c>
      <c r="G243" s="11" t="s">
        <v>366</v>
      </c>
      <c r="H243" t="s">
        <v>39</v>
      </c>
    </row>
    <row r="244" spans="1:8" ht="48" hidden="1" x14ac:dyDescent="0.2">
      <c r="A244" t="s">
        <v>347</v>
      </c>
      <c r="B244" t="s">
        <v>317</v>
      </c>
      <c r="C244" t="s">
        <v>35</v>
      </c>
      <c r="D244">
        <v>16</v>
      </c>
      <c r="E244" s="11" t="s">
        <v>367</v>
      </c>
      <c r="F244" t="s">
        <v>37</v>
      </c>
      <c r="G244" s="11" t="s">
        <v>338</v>
      </c>
      <c r="H244" t="s">
        <v>39</v>
      </c>
    </row>
    <row r="245" spans="1:8" ht="32" hidden="1" x14ac:dyDescent="0.2">
      <c r="A245" t="s">
        <v>347</v>
      </c>
      <c r="B245" t="s">
        <v>317</v>
      </c>
      <c r="C245" t="s">
        <v>35</v>
      </c>
      <c r="D245">
        <v>18</v>
      </c>
      <c r="E245" s="11" t="s">
        <v>368</v>
      </c>
      <c r="F245" t="s">
        <v>37</v>
      </c>
      <c r="G245" s="11" t="s">
        <v>321</v>
      </c>
      <c r="H245" t="s">
        <v>39</v>
      </c>
    </row>
    <row r="246" spans="1:8" ht="48" hidden="1" x14ac:dyDescent="0.2">
      <c r="A246" t="s">
        <v>347</v>
      </c>
      <c r="B246" t="s">
        <v>317</v>
      </c>
      <c r="C246" t="s">
        <v>35</v>
      </c>
      <c r="D246">
        <v>19</v>
      </c>
      <c r="E246" s="11" t="s">
        <v>369</v>
      </c>
      <c r="F246" t="s">
        <v>37</v>
      </c>
      <c r="G246" s="11" t="s">
        <v>338</v>
      </c>
      <c r="H246" t="s">
        <v>39</v>
      </c>
    </row>
    <row r="247" spans="1:8" ht="112" hidden="1" x14ac:dyDescent="0.2">
      <c r="A247" t="s">
        <v>347</v>
      </c>
      <c r="B247" t="s">
        <v>317</v>
      </c>
      <c r="C247" t="s">
        <v>35</v>
      </c>
      <c r="D247">
        <v>20</v>
      </c>
      <c r="E247" s="11" t="s">
        <v>370</v>
      </c>
      <c r="F247" t="s">
        <v>37</v>
      </c>
      <c r="G247" s="11" t="s">
        <v>588</v>
      </c>
      <c r="H247" t="s">
        <v>39</v>
      </c>
    </row>
    <row r="248" spans="1:8" ht="112" hidden="1" x14ac:dyDescent="0.2">
      <c r="A248" t="s">
        <v>347</v>
      </c>
      <c r="B248" t="s">
        <v>317</v>
      </c>
      <c r="C248" t="s">
        <v>35</v>
      </c>
      <c r="D248">
        <v>21</v>
      </c>
      <c r="E248" s="11" t="s">
        <v>371</v>
      </c>
      <c r="F248" t="s">
        <v>558</v>
      </c>
      <c r="G248" s="11" t="s">
        <v>366</v>
      </c>
      <c r="H248" t="s">
        <v>39</v>
      </c>
    </row>
    <row r="249" spans="1:8" ht="112" hidden="1" x14ac:dyDescent="0.2">
      <c r="A249" t="s">
        <v>347</v>
      </c>
      <c r="B249" t="s">
        <v>317</v>
      </c>
      <c r="C249" t="s">
        <v>35</v>
      </c>
      <c r="D249">
        <v>22</v>
      </c>
      <c r="E249" s="11" t="s">
        <v>372</v>
      </c>
      <c r="F249" t="s">
        <v>37</v>
      </c>
      <c r="G249" s="11" t="s">
        <v>366</v>
      </c>
      <c r="H249" t="s">
        <v>39</v>
      </c>
    </row>
    <row r="250" spans="1:8" ht="48" hidden="1" x14ac:dyDescent="0.2">
      <c r="A250" t="s">
        <v>347</v>
      </c>
      <c r="B250" t="s">
        <v>317</v>
      </c>
      <c r="C250" t="s">
        <v>35</v>
      </c>
      <c r="D250">
        <v>23</v>
      </c>
      <c r="E250" s="11" t="s">
        <v>373</v>
      </c>
      <c r="F250" t="s">
        <v>558</v>
      </c>
      <c r="G250" s="11" t="s">
        <v>556</v>
      </c>
      <c r="H250" t="s">
        <v>39</v>
      </c>
    </row>
    <row r="251" spans="1:8" ht="64" hidden="1" x14ac:dyDescent="0.2">
      <c r="A251" t="s">
        <v>347</v>
      </c>
      <c r="B251" t="s">
        <v>317</v>
      </c>
      <c r="C251" t="s">
        <v>35</v>
      </c>
      <c r="D251">
        <v>24</v>
      </c>
      <c r="E251" s="11" t="s">
        <v>374</v>
      </c>
      <c r="F251" t="s">
        <v>560</v>
      </c>
      <c r="G251" s="11" t="s">
        <v>565</v>
      </c>
      <c r="H251" t="s">
        <v>39</v>
      </c>
    </row>
    <row r="252" spans="1:8" ht="32" hidden="1" x14ac:dyDescent="0.2">
      <c r="A252" t="s">
        <v>347</v>
      </c>
      <c r="B252" t="s">
        <v>317</v>
      </c>
      <c r="C252" t="s">
        <v>35</v>
      </c>
      <c r="D252">
        <v>25</v>
      </c>
      <c r="E252" s="11" t="s">
        <v>375</v>
      </c>
      <c r="F252" t="s">
        <v>560</v>
      </c>
      <c r="G252" s="11" t="s">
        <v>565</v>
      </c>
      <c r="H252" t="s">
        <v>39</v>
      </c>
    </row>
    <row r="253" spans="1:8" ht="32" hidden="1" x14ac:dyDescent="0.2">
      <c r="A253" t="s">
        <v>347</v>
      </c>
      <c r="B253" t="s">
        <v>317</v>
      </c>
      <c r="C253" t="s">
        <v>35</v>
      </c>
      <c r="D253">
        <v>26</v>
      </c>
      <c r="E253" s="11" t="s">
        <v>376</v>
      </c>
      <c r="F253" t="s">
        <v>560</v>
      </c>
      <c r="G253" s="11" t="s">
        <v>42</v>
      </c>
      <c r="H253" t="s">
        <v>39</v>
      </c>
    </row>
    <row r="254" spans="1:8" ht="32" hidden="1" x14ac:dyDescent="0.2">
      <c r="A254" t="s">
        <v>347</v>
      </c>
      <c r="B254" t="s">
        <v>317</v>
      </c>
      <c r="C254" t="s">
        <v>35</v>
      </c>
      <c r="D254">
        <v>27</v>
      </c>
      <c r="E254" s="11" t="s">
        <v>377</v>
      </c>
      <c r="F254" t="s">
        <v>560</v>
      </c>
      <c r="G254" s="11" t="s">
        <v>565</v>
      </c>
      <c r="H254" t="s">
        <v>39</v>
      </c>
    </row>
    <row r="255" spans="1:8" ht="32" hidden="1" x14ac:dyDescent="0.2">
      <c r="A255" t="s">
        <v>347</v>
      </c>
      <c r="B255" t="s">
        <v>317</v>
      </c>
      <c r="C255" t="s">
        <v>35</v>
      </c>
      <c r="D255">
        <v>28</v>
      </c>
      <c r="E255" s="11" t="s">
        <v>378</v>
      </c>
      <c r="F255" t="s">
        <v>560</v>
      </c>
      <c r="G255" s="11" t="s">
        <v>565</v>
      </c>
      <c r="H255" t="s">
        <v>39</v>
      </c>
    </row>
    <row r="256" spans="1:8" ht="96" hidden="1" x14ac:dyDescent="0.2">
      <c r="A256" t="s">
        <v>379</v>
      </c>
      <c r="B256" t="s">
        <v>380</v>
      </c>
      <c r="C256" t="s">
        <v>35</v>
      </c>
      <c r="D256">
        <v>1</v>
      </c>
      <c r="E256" s="11" t="s">
        <v>381</v>
      </c>
      <c r="F256" t="s">
        <v>101</v>
      </c>
      <c r="G256" s="11" t="s">
        <v>382</v>
      </c>
      <c r="H256" t="s">
        <v>39</v>
      </c>
    </row>
    <row r="257" spans="1:8" ht="96" hidden="1" x14ac:dyDescent="0.2">
      <c r="A257" t="s">
        <v>379</v>
      </c>
      <c r="B257" t="s">
        <v>380</v>
      </c>
      <c r="C257" t="s">
        <v>35</v>
      </c>
      <c r="D257">
        <v>2</v>
      </c>
      <c r="E257" s="11" t="s">
        <v>383</v>
      </c>
      <c r="F257" t="s">
        <v>558</v>
      </c>
      <c r="G257" s="11" t="s">
        <v>382</v>
      </c>
      <c r="H257" t="s">
        <v>39</v>
      </c>
    </row>
    <row r="258" spans="1:8" ht="96" hidden="1" x14ac:dyDescent="0.2">
      <c r="A258" t="s">
        <v>379</v>
      </c>
      <c r="B258" t="s">
        <v>380</v>
      </c>
      <c r="C258" t="s">
        <v>35</v>
      </c>
      <c r="D258">
        <v>3</v>
      </c>
      <c r="E258" s="11" t="s">
        <v>384</v>
      </c>
      <c r="F258" t="s">
        <v>101</v>
      </c>
      <c r="G258" s="11" t="s">
        <v>382</v>
      </c>
      <c r="H258" t="s">
        <v>39</v>
      </c>
    </row>
    <row r="259" spans="1:8" ht="32" hidden="1" x14ac:dyDescent="0.2">
      <c r="A259" t="s">
        <v>379</v>
      </c>
      <c r="B259" t="s">
        <v>380</v>
      </c>
      <c r="C259" t="s">
        <v>35</v>
      </c>
      <c r="D259">
        <v>4</v>
      </c>
      <c r="E259" s="11" t="s">
        <v>385</v>
      </c>
      <c r="F259" t="s">
        <v>37</v>
      </c>
      <c r="G259" s="11" t="s">
        <v>589</v>
      </c>
      <c r="H259" t="s">
        <v>39</v>
      </c>
    </row>
    <row r="260" spans="1:8" ht="240" hidden="1" x14ac:dyDescent="0.2">
      <c r="A260" t="s">
        <v>379</v>
      </c>
      <c r="B260" t="s">
        <v>380</v>
      </c>
      <c r="C260" t="s">
        <v>35</v>
      </c>
      <c r="D260">
        <v>5</v>
      </c>
      <c r="E260" s="11" t="s">
        <v>386</v>
      </c>
      <c r="F260" t="s">
        <v>37</v>
      </c>
      <c r="G260" s="11" t="s">
        <v>387</v>
      </c>
      <c r="H260" t="s">
        <v>39</v>
      </c>
    </row>
    <row r="261" spans="1:8" ht="80" hidden="1" x14ac:dyDescent="0.2">
      <c r="A261" t="s">
        <v>379</v>
      </c>
      <c r="B261" t="s">
        <v>380</v>
      </c>
      <c r="C261" t="s">
        <v>35</v>
      </c>
      <c r="D261">
        <v>6</v>
      </c>
      <c r="E261" s="11" t="s">
        <v>388</v>
      </c>
      <c r="F261" t="s">
        <v>37</v>
      </c>
      <c r="G261" s="11" t="s">
        <v>389</v>
      </c>
      <c r="H261" t="s">
        <v>39</v>
      </c>
    </row>
    <row r="262" spans="1:8" ht="32" hidden="1" x14ac:dyDescent="0.2">
      <c r="A262" t="s">
        <v>379</v>
      </c>
      <c r="B262" t="s">
        <v>380</v>
      </c>
      <c r="C262" t="s">
        <v>35</v>
      </c>
      <c r="D262">
        <v>7</v>
      </c>
      <c r="E262" s="11" t="s">
        <v>390</v>
      </c>
      <c r="F262" t="s">
        <v>37</v>
      </c>
      <c r="G262" s="11" t="s">
        <v>391</v>
      </c>
      <c r="H262" t="s">
        <v>39</v>
      </c>
    </row>
    <row r="263" spans="1:8" ht="48" hidden="1" x14ac:dyDescent="0.2">
      <c r="A263" t="s">
        <v>379</v>
      </c>
      <c r="B263" t="s">
        <v>380</v>
      </c>
      <c r="C263" t="s">
        <v>35</v>
      </c>
      <c r="D263">
        <v>8</v>
      </c>
      <c r="E263" s="11" t="s">
        <v>392</v>
      </c>
      <c r="F263" t="s">
        <v>37</v>
      </c>
      <c r="G263" s="11" t="s">
        <v>391</v>
      </c>
      <c r="H263" t="s">
        <v>39</v>
      </c>
    </row>
    <row r="264" spans="1:8" ht="32" hidden="1" x14ac:dyDescent="0.2">
      <c r="A264" t="s">
        <v>379</v>
      </c>
      <c r="B264" t="s">
        <v>380</v>
      </c>
      <c r="C264" t="s">
        <v>35</v>
      </c>
      <c r="D264">
        <v>9</v>
      </c>
      <c r="E264" s="11" t="s">
        <v>393</v>
      </c>
      <c r="F264" t="s">
        <v>101</v>
      </c>
      <c r="G264" s="11" t="s">
        <v>563</v>
      </c>
      <c r="H264" t="s">
        <v>39</v>
      </c>
    </row>
    <row r="265" spans="1:8" ht="128" hidden="1" x14ac:dyDescent="0.2">
      <c r="A265" t="s">
        <v>379</v>
      </c>
      <c r="B265" t="s">
        <v>380</v>
      </c>
      <c r="C265" t="s">
        <v>35</v>
      </c>
      <c r="D265">
        <v>10</v>
      </c>
      <c r="E265" s="11" t="s">
        <v>394</v>
      </c>
      <c r="F265" t="s">
        <v>37</v>
      </c>
      <c r="G265" s="11" t="s">
        <v>395</v>
      </c>
      <c r="H265" t="s">
        <v>39</v>
      </c>
    </row>
    <row r="266" spans="1:8" ht="128" hidden="1" x14ac:dyDescent="0.2">
      <c r="A266" t="s">
        <v>379</v>
      </c>
      <c r="B266" t="s">
        <v>380</v>
      </c>
      <c r="C266" t="s">
        <v>35</v>
      </c>
      <c r="D266">
        <v>11</v>
      </c>
      <c r="E266" s="11" t="s">
        <v>396</v>
      </c>
      <c r="F266" t="s">
        <v>37</v>
      </c>
      <c r="G266" s="11" t="s">
        <v>395</v>
      </c>
      <c r="H266" t="s">
        <v>39</v>
      </c>
    </row>
    <row r="267" spans="1:8" ht="64" hidden="1" x14ac:dyDescent="0.2">
      <c r="A267" t="s">
        <v>379</v>
      </c>
      <c r="B267" t="s">
        <v>380</v>
      </c>
      <c r="C267" t="s">
        <v>35</v>
      </c>
      <c r="D267">
        <v>12</v>
      </c>
      <c r="E267" s="11" t="s">
        <v>397</v>
      </c>
      <c r="F267" t="s">
        <v>558</v>
      </c>
      <c r="G267" s="11" t="s">
        <v>398</v>
      </c>
      <c r="H267" t="s">
        <v>39</v>
      </c>
    </row>
    <row r="268" spans="1:8" ht="80" hidden="1" x14ac:dyDescent="0.2">
      <c r="A268" t="s">
        <v>379</v>
      </c>
      <c r="B268" t="s">
        <v>380</v>
      </c>
      <c r="C268" t="s">
        <v>35</v>
      </c>
      <c r="D268">
        <v>14</v>
      </c>
      <c r="E268" s="11" t="s">
        <v>399</v>
      </c>
      <c r="F268" t="s">
        <v>37</v>
      </c>
      <c r="G268" s="11" t="s">
        <v>389</v>
      </c>
      <c r="H268" t="s">
        <v>39</v>
      </c>
    </row>
    <row r="269" spans="1:8" ht="32" hidden="1" x14ac:dyDescent="0.2">
      <c r="A269" t="s">
        <v>379</v>
      </c>
      <c r="B269" t="s">
        <v>380</v>
      </c>
      <c r="C269" t="s">
        <v>35</v>
      </c>
      <c r="D269">
        <v>15</v>
      </c>
      <c r="E269" s="11" t="s">
        <v>400</v>
      </c>
      <c r="F269" t="s">
        <v>558</v>
      </c>
      <c r="G269" s="11" t="s">
        <v>556</v>
      </c>
      <c r="H269" t="s">
        <v>39</v>
      </c>
    </row>
    <row r="270" spans="1:8" ht="80" hidden="1" x14ac:dyDescent="0.2">
      <c r="A270" t="s">
        <v>379</v>
      </c>
      <c r="B270" t="s">
        <v>380</v>
      </c>
      <c r="C270" t="s">
        <v>35</v>
      </c>
      <c r="D270">
        <v>16</v>
      </c>
      <c r="E270" s="11" t="s">
        <v>401</v>
      </c>
      <c r="F270" t="s">
        <v>37</v>
      </c>
      <c r="G270" s="11" t="s">
        <v>389</v>
      </c>
      <c r="H270" t="s">
        <v>39</v>
      </c>
    </row>
    <row r="271" spans="1:8" ht="32" hidden="1" x14ac:dyDescent="0.2">
      <c r="A271" t="s">
        <v>379</v>
      </c>
      <c r="B271" t="s">
        <v>380</v>
      </c>
      <c r="C271" t="s">
        <v>35</v>
      </c>
      <c r="D271">
        <v>17</v>
      </c>
      <c r="E271" s="11" t="s">
        <v>402</v>
      </c>
      <c r="F271" t="s">
        <v>558</v>
      </c>
      <c r="G271" s="11" t="s">
        <v>556</v>
      </c>
      <c r="H271" t="s">
        <v>39</v>
      </c>
    </row>
    <row r="272" spans="1:8" ht="96" hidden="1" x14ac:dyDescent="0.2">
      <c r="A272" t="s">
        <v>379</v>
      </c>
      <c r="B272" t="s">
        <v>380</v>
      </c>
      <c r="C272" t="s">
        <v>35</v>
      </c>
      <c r="D272">
        <v>18</v>
      </c>
      <c r="E272" s="11" t="s">
        <v>403</v>
      </c>
      <c r="F272" t="s">
        <v>101</v>
      </c>
      <c r="G272" s="11" t="s">
        <v>382</v>
      </c>
      <c r="H272" t="s">
        <v>39</v>
      </c>
    </row>
    <row r="273" spans="1:8" ht="48" hidden="1" x14ac:dyDescent="0.2">
      <c r="A273" t="s">
        <v>379</v>
      </c>
      <c r="B273" t="s">
        <v>380</v>
      </c>
      <c r="C273" t="s">
        <v>35</v>
      </c>
      <c r="D273">
        <v>19</v>
      </c>
      <c r="E273" s="11" t="s">
        <v>404</v>
      </c>
      <c r="F273" t="s">
        <v>560</v>
      </c>
      <c r="G273" s="11" t="s">
        <v>391</v>
      </c>
      <c r="H273" t="s">
        <v>39</v>
      </c>
    </row>
    <row r="274" spans="1:8" ht="32" hidden="1" x14ac:dyDescent="0.2">
      <c r="A274" t="s">
        <v>379</v>
      </c>
      <c r="B274" t="s">
        <v>380</v>
      </c>
      <c r="C274" t="s">
        <v>35</v>
      </c>
      <c r="D274">
        <v>20</v>
      </c>
      <c r="E274" s="11" t="s">
        <v>405</v>
      </c>
      <c r="F274" t="s">
        <v>560</v>
      </c>
      <c r="G274" s="11" t="s">
        <v>565</v>
      </c>
      <c r="H274" t="s">
        <v>39</v>
      </c>
    </row>
    <row r="275" spans="1:8" ht="32" hidden="1" x14ac:dyDescent="0.2">
      <c r="A275" t="s">
        <v>379</v>
      </c>
      <c r="B275" t="s">
        <v>380</v>
      </c>
      <c r="C275" t="s">
        <v>35</v>
      </c>
      <c r="D275">
        <v>21</v>
      </c>
      <c r="E275" s="11" t="s">
        <v>406</v>
      </c>
      <c r="F275" t="s">
        <v>560</v>
      </c>
      <c r="G275" s="11" t="s">
        <v>565</v>
      </c>
      <c r="H275" t="s">
        <v>39</v>
      </c>
    </row>
    <row r="276" spans="1:8" ht="16" hidden="1" x14ac:dyDescent="0.2">
      <c r="A276" t="s">
        <v>379</v>
      </c>
      <c r="B276" t="s">
        <v>380</v>
      </c>
      <c r="C276" t="s">
        <v>35</v>
      </c>
      <c r="D276">
        <v>22</v>
      </c>
      <c r="E276" s="11" t="s">
        <v>407</v>
      </c>
      <c r="F276" t="s">
        <v>560</v>
      </c>
      <c r="G276" s="11" t="s">
        <v>565</v>
      </c>
      <c r="H276" t="s">
        <v>39</v>
      </c>
    </row>
    <row r="277" spans="1:8" ht="32" hidden="1" x14ac:dyDescent="0.2">
      <c r="A277" t="s">
        <v>379</v>
      </c>
      <c r="B277" t="s">
        <v>380</v>
      </c>
      <c r="C277" t="s">
        <v>35</v>
      </c>
      <c r="D277">
        <v>23</v>
      </c>
      <c r="E277" s="11" t="s">
        <v>408</v>
      </c>
      <c r="F277" t="s">
        <v>560</v>
      </c>
      <c r="G277" s="11" t="s">
        <v>565</v>
      </c>
      <c r="H277" t="s">
        <v>39</v>
      </c>
    </row>
    <row r="278" spans="1:8" ht="80" hidden="1" x14ac:dyDescent="0.2">
      <c r="A278" t="s">
        <v>409</v>
      </c>
      <c r="B278" t="s">
        <v>380</v>
      </c>
      <c r="C278" t="s">
        <v>35</v>
      </c>
      <c r="D278">
        <v>1</v>
      </c>
      <c r="E278" s="11" t="s">
        <v>410</v>
      </c>
      <c r="F278" t="s">
        <v>37</v>
      </c>
      <c r="G278" s="11" t="s">
        <v>389</v>
      </c>
      <c r="H278" t="s">
        <v>39</v>
      </c>
    </row>
    <row r="279" spans="1:8" ht="32" hidden="1" x14ac:dyDescent="0.2">
      <c r="A279" t="s">
        <v>409</v>
      </c>
      <c r="B279" t="s">
        <v>380</v>
      </c>
      <c r="C279" t="s">
        <v>35</v>
      </c>
      <c r="D279">
        <v>2</v>
      </c>
      <c r="E279" s="11" t="s">
        <v>411</v>
      </c>
      <c r="F279" t="s">
        <v>558</v>
      </c>
      <c r="G279" s="11" t="s">
        <v>556</v>
      </c>
      <c r="H279" t="s">
        <v>39</v>
      </c>
    </row>
    <row r="280" spans="1:8" ht="80" hidden="1" x14ac:dyDescent="0.2">
      <c r="A280" t="s">
        <v>409</v>
      </c>
      <c r="B280" t="s">
        <v>380</v>
      </c>
      <c r="C280" t="s">
        <v>35</v>
      </c>
      <c r="D280">
        <v>3</v>
      </c>
      <c r="E280" s="11" t="s">
        <v>412</v>
      </c>
      <c r="F280" t="s">
        <v>37</v>
      </c>
      <c r="G280" s="11" t="s">
        <v>389</v>
      </c>
      <c r="H280" t="s">
        <v>39</v>
      </c>
    </row>
    <row r="281" spans="1:8" ht="112" hidden="1" x14ac:dyDescent="0.2">
      <c r="A281" t="s">
        <v>409</v>
      </c>
      <c r="B281" t="s">
        <v>380</v>
      </c>
      <c r="C281" t="s">
        <v>35</v>
      </c>
      <c r="D281">
        <v>4</v>
      </c>
      <c r="E281" s="11" t="s">
        <v>413</v>
      </c>
      <c r="F281" t="s">
        <v>101</v>
      </c>
      <c r="G281" s="11" t="s">
        <v>414</v>
      </c>
      <c r="H281" t="s">
        <v>39</v>
      </c>
    </row>
    <row r="282" spans="1:8" ht="128" hidden="1" x14ac:dyDescent="0.2">
      <c r="A282" t="s">
        <v>409</v>
      </c>
      <c r="B282" t="s">
        <v>380</v>
      </c>
      <c r="C282" t="s">
        <v>35</v>
      </c>
      <c r="D282">
        <v>5</v>
      </c>
      <c r="E282" s="11" t="s">
        <v>415</v>
      </c>
      <c r="F282" t="s">
        <v>37</v>
      </c>
      <c r="G282" s="11" t="s">
        <v>416</v>
      </c>
      <c r="H282" t="s">
        <v>39</v>
      </c>
    </row>
    <row r="283" spans="1:8" ht="80" hidden="1" x14ac:dyDescent="0.2">
      <c r="A283" t="s">
        <v>409</v>
      </c>
      <c r="B283" t="s">
        <v>380</v>
      </c>
      <c r="C283" t="s">
        <v>35</v>
      </c>
      <c r="D283">
        <v>6</v>
      </c>
      <c r="E283" s="11" t="s">
        <v>417</v>
      </c>
      <c r="F283" t="s">
        <v>37</v>
      </c>
      <c r="G283" s="11" t="s">
        <v>418</v>
      </c>
      <c r="H283" t="s">
        <v>39</v>
      </c>
    </row>
    <row r="284" spans="1:8" ht="80" hidden="1" x14ac:dyDescent="0.2">
      <c r="A284" t="s">
        <v>409</v>
      </c>
      <c r="B284" t="s">
        <v>380</v>
      </c>
      <c r="C284" t="s">
        <v>35</v>
      </c>
      <c r="D284">
        <v>7</v>
      </c>
      <c r="E284" s="11" t="s">
        <v>419</v>
      </c>
      <c r="F284" t="s">
        <v>37</v>
      </c>
      <c r="G284" s="11" t="s">
        <v>389</v>
      </c>
      <c r="H284" t="s">
        <v>39</v>
      </c>
    </row>
    <row r="285" spans="1:8" ht="80" hidden="1" x14ac:dyDescent="0.2">
      <c r="A285" t="s">
        <v>409</v>
      </c>
      <c r="B285" t="s">
        <v>380</v>
      </c>
      <c r="C285" t="s">
        <v>35</v>
      </c>
      <c r="D285">
        <v>8</v>
      </c>
      <c r="E285" s="11" t="s">
        <v>420</v>
      </c>
      <c r="F285" t="s">
        <v>37</v>
      </c>
      <c r="G285" s="11" t="s">
        <v>389</v>
      </c>
      <c r="H285" t="s">
        <v>39</v>
      </c>
    </row>
    <row r="286" spans="1:8" ht="80" hidden="1" x14ac:dyDescent="0.2">
      <c r="A286" t="s">
        <v>409</v>
      </c>
      <c r="B286" t="s">
        <v>380</v>
      </c>
      <c r="C286" t="s">
        <v>35</v>
      </c>
      <c r="D286">
        <v>9</v>
      </c>
      <c r="E286" s="11" t="s">
        <v>421</v>
      </c>
      <c r="F286" t="s">
        <v>37</v>
      </c>
      <c r="G286" s="11" t="s">
        <v>422</v>
      </c>
      <c r="H286" t="s">
        <v>39</v>
      </c>
    </row>
    <row r="287" spans="1:8" ht="48" hidden="1" x14ac:dyDescent="0.2">
      <c r="A287" t="s">
        <v>409</v>
      </c>
      <c r="B287" t="s">
        <v>380</v>
      </c>
      <c r="C287" t="s">
        <v>35</v>
      </c>
      <c r="D287">
        <v>10</v>
      </c>
      <c r="E287" s="11" t="s">
        <v>423</v>
      </c>
      <c r="F287" t="s">
        <v>37</v>
      </c>
      <c r="G287" s="11" t="s">
        <v>391</v>
      </c>
      <c r="H287" t="s">
        <v>39</v>
      </c>
    </row>
    <row r="288" spans="1:8" ht="128" hidden="1" x14ac:dyDescent="0.2">
      <c r="A288" t="s">
        <v>409</v>
      </c>
      <c r="B288" t="s">
        <v>380</v>
      </c>
      <c r="C288" t="s">
        <v>35</v>
      </c>
      <c r="D288">
        <v>12</v>
      </c>
      <c r="E288" s="11" t="s">
        <v>424</v>
      </c>
      <c r="F288" t="s">
        <v>37</v>
      </c>
      <c r="G288" s="11" t="s">
        <v>395</v>
      </c>
      <c r="H288" t="s">
        <v>39</v>
      </c>
    </row>
    <row r="289" spans="1:8" ht="80" hidden="1" x14ac:dyDescent="0.2">
      <c r="A289" t="s">
        <v>409</v>
      </c>
      <c r="B289" t="s">
        <v>380</v>
      </c>
      <c r="C289" t="s">
        <v>35</v>
      </c>
      <c r="D289">
        <v>13</v>
      </c>
      <c r="E289" s="11" t="s">
        <v>425</v>
      </c>
      <c r="F289" t="s">
        <v>37</v>
      </c>
      <c r="G289" s="11" t="s">
        <v>426</v>
      </c>
      <c r="H289" t="s">
        <v>39</v>
      </c>
    </row>
    <row r="290" spans="1:8" ht="80" hidden="1" x14ac:dyDescent="0.2">
      <c r="A290" t="s">
        <v>409</v>
      </c>
      <c r="B290" t="s">
        <v>380</v>
      </c>
      <c r="C290" t="s">
        <v>35</v>
      </c>
      <c r="D290">
        <v>14</v>
      </c>
      <c r="E290" s="11" t="s">
        <v>427</v>
      </c>
      <c r="F290" t="s">
        <v>558</v>
      </c>
      <c r="G290" s="11" t="s">
        <v>426</v>
      </c>
      <c r="H290" t="s">
        <v>39</v>
      </c>
    </row>
    <row r="291" spans="1:8" ht="80" hidden="1" x14ac:dyDescent="0.2">
      <c r="A291" t="s">
        <v>409</v>
      </c>
      <c r="B291" t="s">
        <v>380</v>
      </c>
      <c r="C291" t="s">
        <v>35</v>
      </c>
      <c r="D291">
        <v>16</v>
      </c>
      <c r="E291" s="11" t="s">
        <v>428</v>
      </c>
      <c r="F291" t="s">
        <v>37</v>
      </c>
      <c r="G291" s="11" t="s">
        <v>389</v>
      </c>
      <c r="H291" t="s">
        <v>39</v>
      </c>
    </row>
    <row r="292" spans="1:8" ht="208" hidden="1" x14ac:dyDescent="0.2">
      <c r="A292" t="s">
        <v>409</v>
      </c>
      <c r="B292" t="s">
        <v>380</v>
      </c>
      <c r="C292" t="s">
        <v>35</v>
      </c>
      <c r="D292">
        <v>17</v>
      </c>
      <c r="E292" s="11" t="s">
        <v>429</v>
      </c>
      <c r="F292" t="s">
        <v>101</v>
      </c>
      <c r="G292" s="11" t="s">
        <v>430</v>
      </c>
      <c r="H292" t="s">
        <v>39</v>
      </c>
    </row>
    <row r="293" spans="1:8" ht="80" hidden="1" x14ac:dyDescent="0.2">
      <c r="A293" t="s">
        <v>409</v>
      </c>
      <c r="B293" t="s">
        <v>380</v>
      </c>
      <c r="C293" t="s">
        <v>35</v>
      </c>
      <c r="D293">
        <v>18</v>
      </c>
      <c r="E293" s="11" t="s">
        <v>431</v>
      </c>
      <c r="F293" t="s">
        <v>37</v>
      </c>
      <c r="G293" s="11" t="s">
        <v>389</v>
      </c>
      <c r="H293" t="s">
        <v>39</v>
      </c>
    </row>
    <row r="294" spans="1:8" ht="48" hidden="1" x14ac:dyDescent="0.2">
      <c r="A294" t="s">
        <v>409</v>
      </c>
      <c r="B294" t="s">
        <v>380</v>
      </c>
      <c r="C294" t="s">
        <v>35</v>
      </c>
      <c r="D294">
        <v>19</v>
      </c>
      <c r="E294" s="11" t="s">
        <v>432</v>
      </c>
      <c r="F294" t="s">
        <v>37</v>
      </c>
      <c r="G294" s="11" t="s">
        <v>391</v>
      </c>
      <c r="H294" t="s">
        <v>39</v>
      </c>
    </row>
    <row r="295" spans="1:8" ht="32" hidden="1" x14ac:dyDescent="0.2">
      <c r="A295" t="s">
        <v>409</v>
      </c>
      <c r="B295" t="s">
        <v>380</v>
      </c>
      <c r="C295" t="s">
        <v>35</v>
      </c>
      <c r="D295">
        <v>20</v>
      </c>
      <c r="E295" s="11" t="s">
        <v>433</v>
      </c>
      <c r="F295" t="s">
        <v>558</v>
      </c>
      <c r="G295" s="11" t="s">
        <v>556</v>
      </c>
      <c r="H295" t="s">
        <v>39</v>
      </c>
    </row>
    <row r="296" spans="1:8" ht="48" hidden="1" x14ac:dyDescent="0.2">
      <c r="A296" t="s">
        <v>409</v>
      </c>
      <c r="B296" t="s">
        <v>380</v>
      </c>
      <c r="C296" t="s">
        <v>35</v>
      </c>
      <c r="D296">
        <v>21</v>
      </c>
      <c r="E296" s="11" t="s">
        <v>434</v>
      </c>
      <c r="F296" t="s">
        <v>560</v>
      </c>
      <c r="G296" s="11" t="s">
        <v>391</v>
      </c>
      <c r="H296" t="s">
        <v>39</v>
      </c>
    </row>
    <row r="297" spans="1:8" ht="48" hidden="1" x14ac:dyDescent="0.2">
      <c r="A297" t="s">
        <v>409</v>
      </c>
      <c r="B297" t="s">
        <v>380</v>
      </c>
      <c r="C297" t="s">
        <v>35</v>
      </c>
      <c r="D297">
        <v>22</v>
      </c>
      <c r="E297" s="11" t="s">
        <v>435</v>
      </c>
      <c r="F297" t="s">
        <v>560</v>
      </c>
      <c r="G297" s="11" t="s">
        <v>565</v>
      </c>
      <c r="H297" t="s">
        <v>39</v>
      </c>
    </row>
    <row r="298" spans="1:8" ht="32" hidden="1" x14ac:dyDescent="0.2">
      <c r="A298" t="s">
        <v>409</v>
      </c>
      <c r="B298" t="s">
        <v>380</v>
      </c>
      <c r="C298" t="s">
        <v>35</v>
      </c>
      <c r="D298">
        <v>23</v>
      </c>
      <c r="E298" s="11" t="s">
        <v>436</v>
      </c>
      <c r="F298" t="s">
        <v>560</v>
      </c>
      <c r="G298" s="11" t="s">
        <v>565</v>
      </c>
      <c r="H298" t="s">
        <v>39</v>
      </c>
    </row>
    <row r="299" spans="1:8" ht="48" hidden="1" x14ac:dyDescent="0.2">
      <c r="A299" t="s">
        <v>409</v>
      </c>
      <c r="B299" t="s">
        <v>380</v>
      </c>
      <c r="C299" t="s">
        <v>35</v>
      </c>
      <c r="D299">
        <v>24</v>
      </c>
      <c r="E299" s="11" t="s">
        <v>437</v>
      </c>
      <c r="F299" t="s">
        <v>560</v>
      </c>
      <c r="G299" s="11" t="s">
        <v>565</v>
      </c>
      <c r="H299" t="s">
        <v>39</v>
      </c>
    </row>
    <row r="300" spans="1:8" ht="32" hidden="1" x14ac:dyDescent="0.2">
      <c r="A300" t="s">
        <v>438</v>
      </c>
      <c r="B300" t="s">
        <v>439</v>
      </c>
      <c r="C300" t="s">
        <v>35</v>
      </c>
      <c r="D300">
        <v>1</v>
      </c>
      <c r="E300" s="11" t="s">
        <v>440</v>
      </c>
      <c r="F300" t="s">
        <v>37</v>
      </c>
      <c r="G300" s="11" t="s">
        <v>590</v>
      </c>
      <c r="H300" t="s">
        <v>39</v>
      </c>
    </row>
    <row r="301" spans="1:8" ht="112" hidden="1" x14ac:dyDescent="0.2">
      <c r="A301" t="s">
        <v>438</v>
      </c>
      <c r="B301" t="s">
        <v>439</v>
      </c>
      <c r="C301" t="s">
        <v>35</v>
      </c>
      <c r="D301">
        <v>2</v>
      </c>
      <c r="E301" s="11" t="s">
        <v>442</v>
      </c>
      <c r="F301" t="s">
        <v>101</v>
      </c>
      <c r="G301" s="11" t="s">
        <v>443</v>
      </c>
      <c r="H301" t="s">
        <v>39</v>
      </c>
    </row>
    <row r="302" spans="1:8" ht="208" hidden="1" x14ac:dyDescent="0.2">
      <c r="A302" t="s">
        <v>438</v>
      </c>
      <c r="B302" t="s">
        <v>439</v>
      </c>
      <c r="C302" t="s">
        <v>35</v>
      </c>
      <c r="D302">
        <v>3</v>
      </c>
      <c r="E302" s="11" t="s">
        <v>444</v>
      </c>
      <c r="F302" t="s">
        <v>37</v>
      </c>
      <c r="G302" s="11" t="s">
        <v>445</v>
      </c>
      <c r="H302" t="s">
        <v>39</v>
      </c>
    </row>
    <row r="303" spans="1:8" ht="208" hidden="1" x14ac:dyDescent="0.2">
      <c r="A303" t="s">
        <v>438</v>
      </c>
      <c r="B303" t="s">
        <v>439</v>
      </c>
      <c r="C303" t="s">
        <v>35</v>
      </c>
      <c r="D303">
        <v>4</v>
      </c>
      <c r="E303" s="11" t="s">
        <v>446</v>
      </c>
      <c r="F303" t="s">
        <v>558</v>
      </c>
      <c r="G303" s="11" t="s">
        <v>445</v>
      </c>
      <c r="H303" t="s">
        <v>39</v>
      </c>
    </row>
    <row r="304" spans="1:8" ht="112" hidden="1" x14ac:dyDescent="0.2">
      <c r="A304" t="s">
        <v>438</v>
      </c>
      <c r="B304" t="s">
        <v>439</v>
      </c>
      <c r="C304" t="s">
        <v>35</v>
      </c>
      <c r="D304">
        <v>5</v>
      </c>
      <c r="E304" s="11" t="s">
        <v>447</v>
      </c>
      <c r="F304" t="s">
        <v>37</v>
      </c>
      <c r="G304" s="11" t="s">
        <v>448</v>
      </c>
      <c r="H304" t="s">
        <v>39</v>
      </c>
    </row>
    <row r="305" spans="1:8" ht="80" hidden="1" x14ac:dyDescent="0.2">
      <c r="A305" t="s">
        <v>438</v>
      </c>
      <c r="B305" t="s">
        <v>439</v>
      </c>
      <c r="C305" t="s">
        <v>35</v>
      </c>
      <c r="D305">
        <v>6</v>
      </c>
      <c r="E305" s="11" t="s">
        <v>449</v>
      </c>
      <c r="F305" t="s">
        <v>37</v>
      </c>
      <c r="G305" s="11" t="s">
        <v>450</v>
      </c>
      <c r="H305" t="s">
        <v>39</v>
      </c>
    </row>
    <row r="306" spans="1:8" ht="112" hidden="1" x14ac:dyDescent="0.2">
      <c r="A306" t="s">
        <v>438</v>
      </c>
      <c r="B306" t="s">
        <v>439</v>
      </c>
      <c r="C306" t="s">
        <v>35</v>
      </c>
      <c r="D306">
        <v>7</v>
      </c>
      <c r="E306" s="11" t="s">
        <v>451</v>
      </c>
      <c r="F306" t="s">
        <v>37</v>
      </c>
      <c r="G306" s="11" t="s">
        <v>443</v>
      </c>
      <c r="H306" t="s">
        <v>39</v>
      </c>
    </row>
    <row r="307" spans="1:8" ht="128" hidden="1" x14ac:dyDescent="0.2">
      <c r="A307" t="s">
        <v>438</v>
      </c>
      <c r="B307" t="s">
        <v>439</v>
      </c>
      <c r="C307" t="s">
        <v>35</v>
      </c>
      <c r="D307">
        <v>8</v>
      </c>
      <c r="E307" s="11" t="s">
        <v>452</v>
      </c>
      <c r="F307" t="s">
        <v>37</v>
      </c>
      <c r="G307" s="11" t="s">
        <v>453</v>
      </c>
      <c r="H307" t="s">
        <v>39</v>
      </c>
    </row>
    <row r="308" spans="1:8" ht="32" hidden="1" x14ac:dyDescent="0.2">
      <c r="A308" t="s">
        <v>438</v>
      </c>
      <c r="B308" t="s">
        <v>439</v>
      </c>
      <c r="C308" t="s">
        <v>35</v>
      </c>
      <c r="D308">
        <v>9</v>
      </c>
      <c r="E308" s="11" t="s">
        <v>454</v>
      </c>
      <c r="F308" t="s">
        <v>37</v>
      </c>
      <c r="G308" s="11" t="s">
        <v>441</v>
      </c>
      <c r="H308" t="s">
        <v>39</v>
      </c>
    </row>
    <row r="309" spans="1:8" ht="80" hidden="1" x14ac:dyDescent="0.2">
      <c r="A309" t="s">
        <v>438</v>
      </c>
      <c r="B309" t="s">
        <v>439</v>
      </c>
      <c r="C309" t="s">
        <v>35</v>
      </c>
      <c r="D309">
        <v>10</v>
      </c>
      <c r="E309" s="11" t="s">
        <v>455</v>
      </c>
      <c r="F309" t="s">
        <v>37</v>
      </c>
      <c r="G309" s="11" t="s">
        <v>450</v>
      </c>
      <c r="H309" t="s">
        <v>39</v>
      </c>
    </row>
    <row r="310" spans="1:8" ht="112" hidden="1" x14ac:dyDescent="0.2">
      <c r="A310" t="s">
        <v>438</v>
      </c>
      <c r="B310" t="s">
        <v>439</v>
      </c>
      <c r="C310" t="s">
        <v>35</v>
      </c>
      <c r="D310">
        <v>12</v>
      </c>
      <c r="E310" s="11" t="s">
        <v>456</v>
      </c>
      <c r="F310" t="s">
        <v>37</v>
      </c>
      <c r="G310" s="11" t="s">
        <v>448</v>
      </c>
      <c r="H310" t="s">
        <v>39</v>
      </c>
    </row>
    <row r="311" spans="1:8" ht="176" hidden="1" x14ac:dyDescent="0.2">
      <c r="A311" t="s">
        <v>438</v>
      </c>
      <c r="B311" t="s">
        <v>439</v>
      </c>
      <c r="C311" t="s">
        <v>35</v>
      </c>
      <c r="D311">
        <v>13</v>
      </c>
      <c r="E311" s="11" t="s">
        <v>457</v>
      </c>
      <c r="F311" t="s">
        <v>37</v>
      </c>
      <c r="G311" s="11" t="s">
        <v>458</v>
      </c>
      <c r="H311" t="s">
        <v>39</v>
      </c>
    </row>
    <row r="312" spans="1:8" ht="176" hidden="1" x14ac:dyDescent="0.2">
      <c r="A312" t="s">
        <v>438</v>
      </c>
      <c r="B312" t="s">
        <v>439</v>
      </c>
      <c r="C312" t="s">
        <v>35</v>
      </c>
      <c r="D312">
        <v>14</v>
      </c>
      <c r="E312" s="11" t="s">
        <v>459</v>
      </c>
      <c r="F312" t="s">
        <v>558</v>
      </c>
      <c r="G312" s="11" t="s">
        <v>458</v>
      </c>
      <c r="H312" t="s">
        <v>39</v>
      </c>
    </row>
    <row r="313" spans="1:8" ht="240" hidden="1" x14ac:dyDescent="0.2">
      <c r="A313" t="s">
        <v>438</v>
      </c>
      <c r="B313" t="s">
        <v>439</v>
      </c>
      <c r="C313" t="s">
        <v>35</v>
      </c>
      <c r="D313">
        <v>16</v>
      </c>
      <c r="E313" s="11" t="s">
        <v>460</v>
      </c>
      <c r="F313" t="s">
        <v>37</v>
      </c>
      <c r="G313" s="11" t="s">
        <v>461</v>
      </c>
      <c r="H313" t="s">
        <v>39</v>
      </c>
    </row>
    <row r="314" spans="1:8" ht="128" hidden="1" x14ac:dyDescent="0.2">
      <c r="A314" t="s">
        <v>438</v>
      </c>
      <c r="B314" t="s">
        <v>439</v>
      </c>
      <c r="C314" t="s">
        <v>35</v>
      </c>
      <c r="D314">
        <v>17</v>
      </c>
      <c r="E314" s="11" t="s">
        <v>462</v>
      </c>
      <c r="F314" t="s">
        <v>37</v>
      </c>
      <c r="G314" s="11" t="s">
        <v>463</v>
      </c>
      <c r="H314" t="s">
        <v>39</v>
      </c>
    </row>
    <row r="315" spans="1:8" ht="48" hidden="1" x14ac:dyDescent="0.2">
      <c r="A315" t="s">
        <v>438</v>
      </c>
      <c r="B315" t="s">
        <v>439</v>
      </c>
      <c r="C315" t="s">
        <v>35</v>
      </c>
      <c r="D315">
        <v>18</v>
      </c>
      <c r="E315" s="11" t="s">
        <v>464</v>
      </c>
      <c r="F315" t="s">
        <v>558</v>
      </c>
      <c r="G315" s="11" t="s">
        <v>556</v>
      </c>
      <c r="H315" t="s">
        <v>39</v>
      </c>
    </row>
    <row r="316" spans="1:8" ht="32" hidden="1" x14ac:dyDescent="0.2">
      <c r="A316" t="s">
        <v>438</v>
      </c>
      <c r="B316" t="s">
        <v>439</v>
      </c>
      <c r="C316" t="s">
        <v>35</v>
      </c>
      <c r="D316">
        <v>19</v>
      </c>
      <c r="E316" s="11" t="s">
        <v>465</v>
      </c>
      <c r="F316" t="s">
        <v>558</v>
      </c>
      <c r="G316" s="11" t="s">
        <v>556</v>
      </c>
      <c r="H316" t="s">
        <v>39</v>
      </c>
    </row>
    <row r="317" spans="1:8" ht="32" hidden="1" x14ac:dyDescent="0.2">
      <c r="A317" t="s">
        <v>438</v>
      </c>
      <c r="B317" t="s">
        <v>439</v>
      </c>
      <c r="C317" t="s">
        <v>35</v>
      </c>
      <c r="D317">
        <v>20</v>
      </c>
      <c r="E317" s="11" t="s">
        <v>466</v>
      </c>
      <c r="F317" t="s">
        <v>558</v>
      </c>
      <c r="G317" s="11" t="s">
        <v>556</v>
      </c>
      <c r="H317" t="s">
        <v>39</v>
      </c>
    </row>
    <row r="318" spans="1:8" ht="80" hidden="1" x14ac:dyDescent="0.2">
      <c r="A318" t="s">
        <v>438</v>
      </c>
      <c r="B318" t="s">
        <v>439</v>
      </c>
      <c r="C318" t="s">
        <v>35</v>
      </c>
      <c r="D318">
        <v>21</v>
      </c>
      <c r="E318" s="11" t="s">
        <v>467</v>
      </c>
      <c r="F318" t="s">
        <v>37</v>
      </c>
      <c r="G318" s="11" t="s">
        <v>450</v>
      </c>
      <c r="H318" t="s">
        <v>39</v>
      </c>
    </row>
    <row r="319" spans="1:8" ht="32" hidden="1" x14ac:dyDescent="0.2">
      <c r="A319" t="s">
        <v>438</v>
      </c>
      <c r="B319" t="s">
        <v>439</v>
      </c>
      <c r="C319" t="s">
        <v>35</v>
      </c>
      <c r="D319">
        <v>22</v>
      </c>
      <c r="E319" s="11" t="s">
        <v>468</v>
      </c>
      <c r="F319" t="s">
        <v>560</v>
      </c>
      <c r="G319" s="11" t="s">
        <v>565</v>
      </c>
      <c r="H319" t="s">
        <v>39</v>
      </c>
    </row>
    <row r="320" spans="1:8" ht="48" hidden="1" x14ac:dyDescent="0.2">
      <c r="A320" t="s">
        <v>438</v>
      </c>
      <c r="B320" t="s">
        <v>439</v>
      </c>
      <c r="C320" t="s">
        <v>35</v>
      </c>
      <c r="D320">
        <v>23</v>
      </c>
      <c r="E320" s="11" t="s">
        <v>469</v>
      </c>
      <c r="F320" t="s">
        <v>560</v>
      </c>
      <c r="G320" s="11" t="s">
        <v>565</v>
      </c>
      <c r="H320" t="s">
        <v>39</v>
      </c>
    </row>
    <row r="321" spans="1:9" ht="48" hidden="1" x14ac:dyDescent="0.2">
      <c r="A321" t="s">
        <v>470</v>
      </c>
      <c r="B321" t="s">
        <v>439</v>
      </c>
      <c r="C321" t="s">
        <v>35</v>
      </c>
      <c r="D321">
        <v>1</v>
      </c>
      <c r="E321" s="11" t="s">
        <v>471</v>
      </c>
      <c r="F321" t="s">
        <v>101</v>
      </c>
      <c r="G321" s="11" t="s">
        <v>474</v>
      </c>
      <c r="H321" t="s">
        <v>39</v>
      </c>
    </row>
    <row r="322" spans="1:9" ht="32" hidden="1" x14ac:dyDescent="0.2">
      <c r="A322" t="s">
        <v>470</v>
      </c>
      <c r="B322" t="s">
        <v>439</v>
      </c>
      <c r="C322" t="s">
        <v>35</v>
      </c>
      <c r="D322">
        <v>2</v>
      </c>
      <c r="E322" s="11" t="s">
        <v>472</v>
      </c>
      <c r="F322" t="s">
        <v>558</v>
      </c>
      <c r="G322" s="11" t="s">
        <v>556</v>
      </c>
      <c r="H322" t="s">
        <v>39</v>
      </c>
    </row>
    <row r="323" spans="1:9" ht="48" hidden="1" x14ac:dyDescent="0.2">
      <c r="A323" t="s">
        <v>470</v>
      </c>
      <c r="B323" t="s">
        <v>439</v>
      </c>
      <c r="C323" t="s">
        <v>35</v>
      </c>
      <c r="D323">
        <v>3</v>
      </c>
      <c r="E323" s="11" t="s">
        <v>473</v>
      </c>
      <c r="F323" t="s">
        <v>37</v>
      </c>
      <c r="G323" s="11" t="s">
        <v>474</v>
      </c>
      <c r="H323" t="s">
        <v>39</v>
      </c>
    </row>
    <row r="324" spans="1:9" ht="48" hidden="1" x14ac:dyDescent="0.2">
      <c r="A324" t="s">
        <v>470</v>
      </c>
      <c r="B324" t="s">
        <v>439</v>
      </c>
      <c r="C324" t="s">
        <v>35</v>
      </c>
      <c r="D324">
        <v>4</v>
      </c>
      <c r="E324" s="11" t="s">
        <v>475</v>
      </c>
      <c r="F324" t="s">
        <v>37</v>
      </c>
      <c r="G324" s="11" t="s">
        <v>474</v>
      </c>
      <c r="H324" t="s">
        <v>39</v>
      </c>
    </row>
    <row r="325" spans="1:9" ht="48" hidden="1" x14ac:dyDescent="0.2">
      <c r="A325" t="s">
        <v>470</v>
      </c>
      <c r="B325" t="s">
        <v>439</v>
      </c>
      <c r="C325" t="s">
        <v>35</v>
      </c>
      <c r="D325">
        <v>5</v>
      </c>
      <c r="E325" s="11" t="s">
        <v>476</v>
      </c>
      <c r="F325" t="s">
        <v>37</v>
      </c>
      <c r="G325" s="11" t="s">
        <v>477</v>
      </c>
      <c r="H325" t="s">
        <v>39</v>
      </c>
    </row>
    <row r="326" spans="1:9" ht="48" hidden="1" x14ac:dyDescent="0.2">
      <c r="A326" t="s">
        <v>470</v>
      </c>
      <c r="B326" t="s">
        <v>439</v>
      </c>
      <c r="C326" t="s">
        <v>35</v>
      </c>
      <c r="D326">
        <v>7</v>
      </c>
      <c r="E326" s="11" t="s">
        <v>478</v>
      </c>
      <c r="F326" t="s">
        <v>37</v>
      </c>
      <c r="G326" s="11" t="s">
        <v>474</v>
      </c>
      <c r="H326" t="s">
        <v>39</v>
      </c>
    </row>
    <row r="327" spans="1:9" ht="48" hidden="1" x14ac:dyDescent="0.2">
      <c r="A327" t="s">
        <v>470</v>
      </c>
      <c r="B327" t="s">
        <v>439</v>
      </c>
      <c r="C327" t="s">
        <v>35</v>
      </c>
      <c r="D327">
        <v>8</v>
      </c>
      <c r="E327" s="11" t="s">
        <v>479</v>
      </c>
      <c r="F327" t="s">
        <v>37</v>
      </c>
      <c r="G327" s="11" t="s">
        <v>474</v>
      </c>
      <c r="H327" t="s">
        <v>39</v>
      </c>
    </row>
    <row r="328" spans="1:9" ht="48" hidden="1" x14ac:dyDescent="0.2">
      <c r="A328" t="s">
        <v>470</v>
      </c>
      <c r="B328" t="s">
        <v>439</v>
      </c>
      <c r="C328" t="s">
        <v>35</v>
      </c>
      <c r="D328">
        <v>10</v>
      </c>
      <c r="E328" s="11" t="s">
        <v>480</v>
      </c>
      <c r="F328" t="s">
        <v>37</v>
      </c>
      <c r="G328" s="11" t="s">
        <v>474</v>
      </c>
      <c r="H328" t="s">
        <v>39</v>
      </c>
    </row>
    <row r="329" spans="1:9" ht="48" hidden="1" x14ac:dyDescent="0.2">
      <c r="A329" t="s">
        <v>470</v>
      </c>
      <c r="B329" t="s">
        <v>439</v>
      </c>
      <c r="C329" t="s">
        <v>35</v>
      </c>
      <c r="D329">
        <v>11</v>
      </c>
      <c r="E329" s="11" t="s">
        <v>481</v>
      </c>
      <c r="F329" t="s">
        <v>37</v>
      </c>
      <c r="G329" s="11" t="s">
        <v>474</v>
      </c>
      <c r="H329" t="s">
        <v>39</v>
      </c>
    </row>
    <row r="330" spans="1:9" ht="48" hidden="1" x14ac:dyDescent="0.2">
      <c r="A330" t="s">
        <v>470</v>
      </c>
      <c r="B330" t="s">
        <v>439</v>
      </c>
      <c r="C330" t="s">
        <v>35</v>
      </c>
      <c r="D330">
        <v>12</v>
      </c>
      <c r="E330" s="11" t="s">
        <v>482</v>
      </c>
      <c r="F330" t="s">
        <v>37</v>
      </c>
      <c r="G330" s="11" t="s">
        <v>474</v>
      </c>
      <c r="H330" t="s">
        <v>39</v>
      </c>
    </row>
    <row r="331" spans="1:9" ht="32" hidden="1" x14ac:dyDescent="0.2">
      <c r="A331" t="s">
        <v>470</v>
      </c>
      <c r="B331" t="s">
        <v>439</v>
      </c>
      <c r="C331" t="s">
        <v>35</v>
      </c>
      <c r="D331">
        <v>13</v>
      </c>
      <c r="E331" s="11" t="s">
        <v>483</v>
      </c>
      <c r="F331" t="s">
        <v>558</v>
      </c>
      <c r="G331" s="11" t="s">
        <v>556</v>
      </c>
      <c r="H331" t="s">
        <v>39</v>
      </c>
    </row>
    <row r="332" spans="1:9" ht="32" hidden="1" x14ac:dyDescent="0.2">
      <c r="A332" t="s">
        <v>470</v>
      </c>
      <c r="B332" t="s">
        <v>439</v>
      </c>
      <c r="C332" t="s">
        <v>35</v>
      </c>
      <c r="D332">
        <v>14</v>
      </c>
      <c r="E332" s="11" t="s">
        <v>484</v>
      </c>
      <c r="F332" t="s">
        <v>558</v>
      </c>
      <c r="G332" s="11" t="s">
        <v>556</v>
      </c>
      <c r="H332" t="s">
        <v>39</v>
      </c>
      <c r="I332" s="11" t="s">
        <v>580</v>
      </c>
    </row>
    <row r="333" spans="1:9" ht="32" hidden="1" x14ac:dyDescent="0.2">
      <c r="A333" t="s">
        <v>470</v>
      </c>
      <c r="B333" t="s">
        <v>439</v>
      </c>
      <c r="C333" t="s">
        <v>35</v>
      </c>
      <c r="D333">
        <v>15</v>
      </c>
      <c r="E333" s="11" t="s">
        <v>485</v>
      </c>
      <c r="F333" t="s">
        <v>558</v>
      </c>
      <c r="G333" s="11" t="s">
        <v>556</v>
      </c>
      <c r="H333" t="s">
        <v>39</v>
      </c>
    </row>
    <row r="334" spans="1:9" ht="48" hidden="1" x14ac:dyDescent="0.2">
      <c r="A334" t="s">
        <v>470</v>
      </c>
      <c r="B334" t="s">
        <v>439</v>
      </c>
      <c r="C334" t="s">
        <v>35</v>
      </c>
      <c r="D334">
        <v>16</v>
      </c>
      <c r="E334" s="11" t="s">
        <v>486</v>
      </c>
      <c r="F334" t="s">
        <v>560</v>
      </c>
      <c r="G334" s="11" t="s">
        <v>487</v>
      </c>
      <c r="H334" t="s">
        <v>39</v>
      </c>
    </row>
    <row r="335" spans="1:9" ht="48" hidden="1" x14ac:dyDescent="0.2">
      <c r="A335" t="s">
        <v>470</v>
      </c>
      <c r="B335" t="s">
        <v>439</v>
      </c>
      <c r="C335" t="s">
        <v>35</v>
      </c>
      <c r="D335">
        <v>17</v>
      </c>
      <c r="E335" s="11" t="s">
        <v>488</v>
      </c>
      <c r="F335" t="s">
        <v>560</v>
      </c>
      <c r="G335" s="11" t="s">
        <v>474</v>
      </c>
      <c r="H335" t="s">
        <v>39</v>
      </c>
    </row>
    <row r="336" spans="1:9" ht="32" hidden="1" x14ac:dyDescent="0.2">
      <c r="A336" t="s">
        <v>470</v>
      </c>
      <c r="B336" t="s">
        <v>439</v>
      </c>
      <c r="C336" t="s">
        <v>35</v>
      </c>
      <c r="D336">
        <v>18</v>
      </c>
      <c r="E336" s="11" t="s">
        <v>489</v>
      </c>
      <c r="F336" t="s">
        <v>101</v>
      </c>
      <c r="G336" s="11" t="s">
        <v>565</v>
      </c>
      <c r="H336" t="s">
        <v>39</v>
      </c>
    </row>
    <row r="337" spans="1:8" ht="16" hidden="1" x14ac:dyDescent="0.2">
      <c r="A337" t="s">
        <v>470</v>
      </c>
      <c r="B337" t="s">
        <v>439</v>
      </c>
      <c r="C337" t="s">
        <v>35</v>
      </c>
      <c r="D337">
        <v>19</v>
      </c>
      <c r="E337" s="11" t="s">
        <v>490</v>
      </c>
      <c r="F337" t="s">
        <v>560</v>
      </c>
      <c r="G337" s="11" t="s">
        <v>556</v>
      </c>
      <c r="H337" t="s">
        <v>39</v>
      </c>
    </row>
    <row r="338" spans="1:8" ht="32" hidden="1" x14ac:dyDescent="0.2">
      <c r="A338" t="s">
        <v>470</v>
      </c>
      <c r="B338" t="s">
        <v>439</v>
      </c>
      <c r="C338" t="s">
        <v>35</v>
      </c>
      <c r="D338">
        <v>20</v>
      </c>
      <c r="E338" s="11" t="s">
        <v>491</v>
      </c>
      <c r="F338" t="s">
        <v>560</v>
      </c>
      <c r="G338" s="11" t="s">
        <v>556</v>
      </c>
      <c r="H338" t="s">
        <v>39</v>
      </c>
    </row>
  </sheetData>
  <autoFilter ref="A1:I338" xr:uid="{00000000-0009-0000-0000-000001000000}">
    <filterColumn colId="7">
      <filters>
        <filter val="Fabricated"/>
      </filters>
    </filterColumn>
  </autoFilter>
  <dataValidations count="3">
    <dataValidation type="list" allowBlank="1" error="Pick a verdict" sqref="H2:H7954" xr:uid="{00000000-0002-0000-0100-000001000000}">
      <formula1>"Accurate,Inaccurate,Fabricated,Partially Accurate"</formula1>
    </dataValidation>
    <dataValidation type="list" allowBlank="1" sqref="C2:C7954" xr:uid="{00000000-0002-0000-0100-000002000000}">
      <formula1>"time_series,categorical,geospatial"</formula1>
    </dataValidation>
    <dataValidation type="list" allowBlank="1" error="Pick a claim type" prompt="Select claim type" sqref="F1:F1048576" xr:uid="{5C646DF3-58D2-6F41-9D7D-42A711A89663}">
      <formula1>"Numerical,Directional,Entity,Fabrication,Hedging, Interpretation, Data note"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9"/>
  <sheetViews>
    <sheetView tabSelected="1" topLeftCell="C1" workbookViewId="0">
      <pane ySplit="1" topLeftCell="A2" activePane="bottomLeft" state="frozen"/>
      <selection pane="bottomLeft" activeCell="T11" sqref="T11"/>
    </sheetView>
  </sheetViews>
  <sheetFormatPr baseColWidth="10" defaultColWidth="8.83203125" defaultRowHeight="15" x14ac:dyDescent="0.2"/>
  <cols>
    <col min="1" max="1" width="10" customWidth="1"/>
    <col min="2" max="2" width="28" customWidth="1"/>
    <col min="3" max="3" width="14" customWidth="1"/>
    <col min="4" max="4" width="8" customWidth="1"/>
    <col min="5" max="5" width="12" customWidth="1"/>
    <col min="6" max="6" width="13" customWidth="1"/>
    <col min="7" max="7" width="12" customWidth="1"/>
    <col min="8" max="8" width="10" customWidth="1"/>
    <col min="9" max="9" width="12" customWidth="1"/>
    <col min="10" max="10" width="11" customWidth="1"/>
    <col min="11" max="11" width="13" customWidth="1"/>
    <col min="12" max="14" width="15" customWidth="1"/>
    <col min="15" max="15" width="25" customWidth="1"/>
  </cols>
  <sheetData>
    <row r="1" spans="1:15" ht="28" x14ac:dyDescent="0.2">
      <c r="A1" s="3" t="s">
        <v>24</v>
      </c>
      <c r="B1" s="3" t="s">
        <v>25</v>
      </c>
      <c r="C1" s="3" t="s">
        <v>26</v>
      </c>
      <c r="D1" s="3" t="s">
        <v>495</v>
      </c>
      <c r="E1" s="3" t="s">
        <v>496</v>
      </c>
      <c r="F1" s="3" t="s">
        <v>497</v>
      </c>
      <c r="G1" s="3" t="s">
        <v>498</v>
      </c>
      <c r="H1" s="3" t="s">
        <v>39</v>
      </c>
      <c r="I1" s="3" t="s">
        <v>499</v>
      </c>
      <c r="J1" s="3" t="s">
        <v>500</v>
      </c>
      <c r="K1" s="3" t="s">
        <v>501</v>
      </c>
      <c r="L1" s="3" t="s">
        <v>502</v>
      </c>
      <c r="M1" s="3" t="s">
        <v>503</v>
      </c>
      <c r="N1" s="3" t="s">
        <v>504</v>
      </c>
      <c r="O1" s="3" t="s">
        <v>32</v>
      </c>
    </row>
    <row r="2" spans="1:15" ht="28" x14ac:dyDescent="0.2">
      <c r="A2" s="5" t="s">
        <v>33</v>
      </c>
      <c r="B2" s="5" t="s">
        <v>34</v>
      </c>
      <c r="C2" s="5" t="s">
        <v>35</v>
      </c>
      <c r="D2" s="5">
        <v>1</v>
      </c>
      <c r="E2" s="5" t="s">
        <v>515</v>
      </c>
      <c r="F2" s="5">
        <v>0</v>
      </c>
      <c r="G2" s="5">
        <f>COUNTIF('Claim Audit'!$A:$A,A2)</f>
        <v>19</v>
      </c>
      <c r="H2" s="5">
        <f>COUNTIFS('Claim Audit'!$A:$A,A2,'Claim Audit'!$H:$H,"Accurate")</f>
        <v>19</v>
      </c>
      <c r="I2" s="5">
        <f>COUNTIFS('Claim Audit'!$A:$A,A2,'Claim Audit'!$H:$H,"Inaccurate")</f>
        <v>0</v>
      </c>
      <c r="J2" s="5">
        <f>COUNTIFS('Claim Audit'!$A:$A,A2,'Claim Audit'!$H:$H,"Fabricated")</f>
        <v>0</v>
      </c>
      <c r="K2" s="6">
        <f t="shared" ref="K2:K21" si="0">IF(G2=0,"",H2/G2)</f>
        <v>1</v>
      </c>
      <c r="L2" s="5" t="str">
        <f>IF(J2=0,"Yes","No")</f>
        <v>Yes</v>
      </c>
      <c r="M2" s="5" t="str">
        <f>IF(COUNTIFS('Claim Audit'!$A:$A,A2,'Claim Audit'!$F:$F,"Hedging")=0,"N/A",IF(COUNTIFS('Claim Audit'!$A:$A,A2,'Claim Audit'!$F:$F,"Hedging",'Claim Audit'!$H:$H,"Accurate")=COUNTIFS('Claim Audit'!$A:$A,A2,'Claim Audit'!$F:$F,"Hedging"),"Yes","No"))</f>
        <v>Yes</v>
      </c>
      <c r="N2" s="5">
        <v>10.06</v>
      </c>
      <c r="O2" s="5"/>
    </row>
    <row r="3" spans="1:15" ht="28" x14ac:dyDescent="0.2">
      <c r="A3" s="5" t="s">
        <v>67</v>
      </c>
      <c r="B3" s="5" t="s">
        <v>34</v>
      </c>
      <c r="C3" s="5" t="s">
        <v>35</v>
      </c>
      <c r="D3" s="5">
        <v>2</v>
      </c>
      <c r="E3" s="5" t="s">
        <v>515</v>
      </c>
      <c r="F3" s="5">
        <v>0</v>
      </c>
      <c r="G3" s="5">
        <f>COUNTIF('Claim Audit'!$A:$A,A3)</f>
        <v>21</v>
      </c>
      <c r="H3" s="5">
        <f>COUNTIFS('Claim Audit'!$A:$A,A3,'Claim Audit'!$H:$H,"Accurate")</f>
        <v>20</v>
      </c>
      <c r="I3" s="5">
        <f>COUNTIFS('Claim Audit'!$A:$A,A3,'Claim Audit'!$H:$H,"Inaccurate")</f>
        <v>0</v>
      </c>
      <c r="J3" s="5">
        <f>COUNTIFS('Claim Audit'!$A:$A,A3,'Claim Audit'!$H:$H,"Fabricated")</f>
        <v>1</v>
      </c>
      <c r="K3" s="6">
        <f t="shared" si="0"/>
        <v>0.95238095238095233</v>
      </c>
      <c r="L3" s="5" t="str">
        <f t="shared" ref="L3:L21" si="1">IF(J3=0,"Yes","No")</f>
        <v>No</v>
      </c>
      <c r="M3" s="5" t="s">
        <v>515</v>
      </c>
      <c r="N3" s="5">
        <v>8.02</v>
      </c>
      <c r="O3" s="5" t="s">
        <v>592</v>
      </c>
    </row>
    <row r="4" spans="1:15" ht="42" x14ac:dyDescent="0.2">
      <c r="A4" s="5" t="s">
        <v>92</v>
      </c>
      <c r="B4" s="5" t="s">
        <v>93</v>
      </c>
      <c r="C4" s="5" t="s">
        <v>94</v>
      </c>
      <c r="D4" s="5">
        <v>3</v>
      </c>
      <c r="E4" s="5" t="s">
        <v>515</v>
      </c>
      <c r="F4" s="5">
        <v>0</v>
      </c>
      <c r="G4" s="5">
        <f>COUNTIF('Claim Audit'!$A:$A,A4)</f>
        <v>22</v>
      </c>
      <c r="H4" s="5">
        <f>COUNTIFS('Claim Audit'!$A:$A,A4,'Claim Audit'!$H:$H,"Accurate")</f>
        <v>22</v>
      </c>
      <c r="I4" s="5">
        <f>COUNTIFS('Claim Audit'!$A:$A,A4,'Claim Audit'!$H:$H,"Inaccurate")</f>
        <v>0</v>
      </c>
      <c r="J4" s="5">
        <f>COUNTIFS('Claim Audit'!$A:$A,A4,'Claim Audit'!$H:$H,"Fabricated")</f>
        <v>0</v>
      </c>
      <c r="K4" s="6">
        <f t="shared" si="0"/>
        <v>1</v>
      </c>
      <c r="L4" s="5" t="str">
        <f t="shared" si="1"/>
        <v>Yes</v>
      </c>
      <c r="M4" s="5" t="s">
        <v>515</v>
      </c>
      <c r="N4" s="5">
        <v>12.17</v>
      </c>
      <c r="O4" s="5"/>
    </row>
    <row r="5" spans="1:15" ht="42" x14ac:dyDescent="0.2">
      <c r="A5" s="5" t="s">
        <v>124</v>
      </c>
      <c r="B5" s="5" t="s">
        <v>93</v>
      </c>
      <c r="C5" s="5" t="s">
        <v>125</v>
      </c>
      <c r="D5" s="5">
        <v>4</v>
      </c>
      <c r="E5" s="5" t="s">
        <v>515</v>
      </c>
      <c r="F5" s="5">
        <v>0</v>
      </c>
      <c r="G5" s="5">
        <f>COUNTIF('Claim Audit'!$A:$A,A5)</f>
        <v>19</v>
      </c>
      <c r="H5" s="5">
        <f>COUNTIFS('Claim Audit'!$A:$A,A5,'Claim Audit'!$H:$H,"Accurate")</f>
        <v>18</v>
      </c>
      <c r="I5" s="5">
        <f>COUNTIFS('Claim Audit'!$A:$A,A5,'Claim Audit'!$H:$H,"Inaccurate")</f>
        <v>0</v>
      </c>
      <c r="J5" s="5">
        <f>COUNTIFS('Claim Audit'!$A:$A,A5,'Claim Audit'!$H:$H,"Fabricated")</f>
        <v>1</v>
      </c>
      <c r="K5" s="6">
        <f t="shared" si="0"/>
        <v>0.94736842105263153</v>
      </c>
      <c r="L5" s="5" t="str">
        <f t="shared" si="1"/>
        <v>No</v>
      </c>
      <c r="M5" s="5" t="s">
        <v>515</v>
      </c>
      <c r="N5" s="5">
        <v>9.4600000000000009</v>
      </c>
      <c r="O5" s="15" t="s">
        <v>591</v>
      </c>
    </row>
    <row r="6" spans="1:15" ht="28" x14ac:dyDescent="0.2">
      <c r="A6" s="5" t="s">
        <v>150</v>
      </c>
      <c r="B6" s="5" t="s">
        <v>151</v>
      </c>
      <c r="C6" s="5" t="s">
        <v>94</v>
      </c>
      <c r="D6" s="5">
        <v>5</v>
      </c>
      <c r="E6" s="5" t="s">
        <v>515</v>
      </c>
      <c r="F6" s="5">
        <v>0</v>
      </c>
      <c r="G6" s="5">
        <f>COUNTIF('Claim Audit'!$A:$A,A6)</f>
        <v>21</v>
      </c>
      <c r="H6" s="5">
        <f>COUNTIFS('Claim Audit'!$A:$A,A6,'Claim Audit'!$H:$H,"Accurate")</f>
        <v>21</v>
      </c>
      <c r="I6" s="5">
        <f>COUNTIFS('Claim Audit'!$A:$A,A6,'Claim Audit'!$H:$H,"Inaccurate")</f>
        <v>0</v>
      </c>
      <c r="J6" s="5">
        <f>COUNTIFS('Claim Audit'!$A:$A,A6,'Claim Audit'!$H:$H,"Fabricated")</f>
        <v>0</v>
      </c>
      <c r="K6" s="6">
        <f t="shared" si="0"/>
        <v>1</v>
      </c>
      <c r="L6" s="5" t="str">
        <f t="shared" si="1"/>
        <v>Yes</v>
      </c>
      <c r="M6" s="5" t="s">
        <v>515</v>
      </c>
      <c r="N6" s="5">
        <v>9.75</v>
      </c>
      <c r="O6" s="5"/>
    </row>
    <row r="7" spans="1:15" ht="28" x14ac:dyDescent="0.2">
      <c r="A7" s="5" t="s">
        <v>180</v>
      </c>
      <c r="B7" s="5" t="s">
        <v>151</v>
      </c>
      <c r="C7" s="5" t="s">
        <v>94</v>
      </c>
      <c r="D7" s="5">
        <v>6</v>
      </c>
      <c r="E7" s="5" t="s">
        <v>515</v>
      </c>
      <c r="F7" s="5">
        <v>0</v>
      </c>
      <c r="G7" s="5">
        <f>COUNTIF('Claim Audit'!$A:$A,A7)</f>
        <v>21</v>
      </c>
      <c r="H7" s="5">
        <f>COUNTIFS('Claim Audit'!$A:$A,A7,'Claim Audit'!$H:$H,"Accurate")</f>
        <v>20</v>
      </c>
      <c r="I7" s="5">
        <f>COUNTIFS('Claim Audit'!$A:$A,A7,'Claim Audit'!$H:$H,"Inaccurate")</f>
        <v>0</v>
      </c>
      <c r="J7" s="5">
        <f>COUNTIFS('Claim Audit'!$A:$A,A7,'Claim Audit'!$H:$H,"Fabricated")</f>
        <v>1</v>
      </c>
      <c r="K7" s="6">
        <f t="shared" si="0"/>
        <v>0.95238095238095233</v>
      </c>
      <c r="L7" s="5" t="str">
        <f t="shared" si="1"/>
        <v>No</v>
      </c>
      <c r="M7" s="5" t="s">
        <v>515</v>
      </c>
      <c r="N7" s="5">
        <v>10.44</v>
      </c>
      <c r="O7" s="5" t="s">
        <v>592</v>
      </c>
    </row>
    <row r="8" spans="1:15" ht="84" x14ac:dyDescent="0.2">
      <c r="A8" s="5" t="s">
        <v>203</v>
      </c>
      <c r="B8" s="5" t="s">
        <v>204</v>
      </c>
      <c r="C8" s="5" t="s">
        <v>94</v>
      </c>
      <c r="D8" s="5">
        <v>7</v>
      </c>
      <c r="E8" s="5" t="s">
        <v>520</v>
      </c>
      <c r="F8" s="5"/>
      <c r="G8" s="5">
        <f>COUNTIF('Claim Audit'!$A:$A,A8)</f>
        <v>0</v>
      </c>
      <c r="H8" s="5">
        <f>COUNTIFS('Claim Audit'!$A:$A,A8,'Claim Audit'!$H:$H,"Accurate")</f>
        <v>0</v>
      </c>
      <c r="I8" s="5">
        <f>COUNTIFS('Claim Audit'!$A:$A,A8,'Claim Audit'!$H:$H,"Inaccurate")</f>
        <v>0</v>
      </c>
      <c r="J8" s="5">
        <f>COUNTIFS('Claim Audit'!$A:$A,A8,'Claim Audit'!$H:$H,"Fabricated")</f>
        <v>0</v>
      </c>
      <c r="K8" s="6" t="str">
        <f t="shared" si="0"/>
        <v/>
      </c>
      <c r="L8" s="5"/>
      <c r="M8" s="5"/>
      <c r="N8" s="5"/>
      <c r="O8" s="5" t="s">
        <v>505</v>
      </c>
    </row>
    <row r="9" spans="1:15" ht="84" x14ac:dyDescent="0.2">
      <c r="A9" s="5" t="s">
        <v>205</v>
      </c>
      <c r="B9" s="5" t="s">
        <v>204</v>
      </c>
      <c r="C9" s="5" t="s">
        <v>94</v>
      </c>
      <c r="D9" s="5">
        <v>8</v>
      </c>
      <c r="E9" s="5" t="s">
        <v>520</v>
      </c>
      <c r="F9" s="5"/>
      <c r="G9" s="5">
        <f>COUNTIF('Claim Audit'!$A:$A,A9)</f>
        <v>0</v>
      </c>
      <c r="H9" s="5">
        <f>COUNTIFS('Claim Audit'!$A:$A,A9,'Claim Audit'!$H:$H,"Accurate")</f>
        <v>0</v>
      </c>
      <c r="I9" s="5">
        <f>COUNTIFS('Claim Audit'!$A:$A,A9,'Claim Audit'!$H:$H,"Inaccurate")</f>
        <v>0</v>
      </c>
      <c r="J9" s="5">
        <f>COUNTIFS('Claim Audit'!$A:$A,A9,'Claim Audit'!$H:$H,"Fabricated")</f>
        <v>0</v>
      </c>
      <c r="K9" s="6" t="str">
        <f t="shared" si="0"/>
        <v/>
      </c>
      <c r="L9" s="5"/>
      <c r="M9" s="5"/>
      <c r="N9" s="5"/>
      <c r="O9" s="5" t="s">
        <v>505</v>
      </c>
    </row>
    <row r="10" spans="1:15" ht="28" x14ac:dyDescent="0.2">
      <c r="A10" s="5" t="s">
        <v>206</v>
      </c>
      <c r="B10" s="5" t="s">
        <v>207</v>
      </c>
      <c r="C10" s="5" t="s">
        <v>35</v>
      </c>
      <c r="D10" s="5">
        <v>9</v>
      </c>
      <c r="E10" s="5" t="s">
        <v>515</v>
      </c>
      <c r="F10" s="5">
        <v>0</v>
      </c>
      <c r="G10" s="5">
        <f>COUNTIF('Claim Audit'!$A:$A,A10)</f>
        <v>21</v>
      </c>
      <c r="H10" s="5">
        <f>COUNTIFS('Claim Audit'!$A:$A,A10,'Claim Audit'!$H:$H,"Accurate")</f>
        <v>19</v>
      </c>
      <c r="I10" s="5">
        <f>COUNTIFS('Claim Audit'!$A:$A,A10,'Claim Audit'!$H:$H,"Inaccurate")</f>
        <v>0</v>
      </c>
      <c r="J10" s="5">
        <f>COUNTIFS('Claim Audit'!$A:$A,A10,'Claim Audit'!$H:$H,"Fabricated")</f>
        <v>2</v>
      </c>
      <c r="K10" s="6">
        <f t="shared" si="0"/>
        <v>0.90476190476190477</v>
      </c>
      <c r="L10" s="5" t="str">
        <f t="shared" si="1"/>
        <v>No</v>
      </c>
      <c r="M10" s="5" t="s">
        <v>520</v>
      </c>
      <c r="N10" s="5">
        <v>10.67</v>
      </c>
      <c r="O10" s="5" t="s">
        <v>592</v>
      </c>
    </row>
    <row r="11" spans="1:15" ht="28" x14ac:dyDescent="0.2">
      <c r="A11" s="5" t="s">
        <v>236</v>
      </c>
      <c r="B11" s="5" t="s">
        <v>207</v>
      </c>
      <c r="C11" s="5" t="s">
        <v>35</v>
      </c>
      <c r="D11" s="5">
        <v>10</v>
      </c>
      <c r="E11" s="5" t="s">
        <v>515</v>
      </c>
      <c r="F11" s="5">
        <v>0</v>
      </c>
      <c r="G11" s="5">
        <f>COUNTIF('Claim Audit'!$A:$A,A11)</f>
        <v>19</v>
      </c>
      <c r="H11" s="5">
        <f>COUNTIFS('Claim Audit'!$A:$A,A11,'Claim Audit'!$H:$H,"Accurate")</f>
        <v>19</v>
      </c>
      <c r="I11" s="5">
        <f>COUNTIFS('Claim Audit'!$A:$A,A11,'Claim Audit'!$H:$H,"Inaccurate")</f>
        <v>0</v>
      </c>
      <c r="J11" s="5">
        <f>COUNTIFS('Claim Audit'!$A:$A,A11,'Claim Audit'!$H:$H,"Fabricated")</f>
        <v>0</v>
      </c>
      <c r="K11" s="6">
        <f t="shared" si="0"/>
        <v>1</v>
      </c>
      <c r="L11" s="5" t="str">
        <f t="shared" si="1"/>
        <v>Yes</v>
      </c>
      <c r="M11" s="5" t="s">
        <v>520</v>
      </c>
      <c r="N11" s="5">
        <v>8.44</v>
      </c>
      <c r="O11" s="5"/>
    </row>
    <row r="12" spans="1:15" ht="28" x14ac:dyDescent="0.2">
      <c r="A12" s="5" t="s">
        <v>259</v>
      </c>
      <c r="B12" s="5" t="s">
        <v>260</v>
      </c>
      <c r="C12" s="5" t="s">
        <v>35</v>
      </c>
      <c r="D12" s="5">
        <v>11</v>
      </c>
      <c r="E12" s="5" t="s">
        <v>515</v>
      </c>
      <c r="F12" s="5">
        <v>0</v>
      </c>
      <c r="G12" s="5">
        <f>COUNTIF('Claim Audit'!$A:$A,A12)</f>
        <v>20</v>
      </c>
      <c r="H12" s="5">
        <f>COUNTIFS('Claim Audit'!$A:$A,A12,'Claim Audit'!$H:$H,"Accurate")</f>
        <v>19</v>
      </c>
      <c r="I12" s="5">
        <f>COUNTIFS('Claim Audit'!$A:$A,A12,'Claim Audit'!$H:$H,"Inaccurate")</f>
        <v>0</v>
      </c>
      <c r="J12" s="5">
        <f>COUNTIFS('Claim Audit'!$A:$A,A12,'Claim Audit'!$H:$H,"Fabricated")</f>
        <v>1</v>
      </c>
      <c r="K12" s="6">
        <f t="shared" si="0"/>
        <v>0.95</v>
      </c>
      <c r="L12" s="5" t="str">
        <f t="shared" si="1"/>
        <v>No</v>
      </c>
      <c r="M12" s="5" t="s">
        <v>515</v>
      </c>
      <c r="N12" s="5">
        <v>10.01</v>
      </c>
      <c r="O12" s="5" t="s">
        <v>592</v>
      </c>
    </row>
    <row r="13" spans="1:15" ht="28" x14ac:dyDescent="0.2">
      <c r="A13" s="5" t="s">
        <v>289</v>
      </c>
      <c r="B13" s="5" t="s">
        <v>260</v>
      </c>
      <c r="C13" s="5" t="s">
        <v>35</v>
      </c>
      <c r="D13" s="5">
        <v>12</v>
      </c>
      <c r="E13" s="5" t="s">
        <v>515</v>
      </c>
      <c r="F13" s="5">
        <v>0</v>
      </c>
      <c r="G13" s="5">
        <f>COUNTIF('Claim Audit'!$A:$A,A13)</f>
        <v>22</v>
      </c>
      <c r="H13" s="5">
        <f>COUNTIFS('Claim Audit'!$A:$A,A13,'Claim Audit'!$H:$H,"Accurate")</f>
        <v>22</v>
      </c>
      <c r="I13" s="5">
        <f>COUNTIFS('Claim Audit'!$A:$A,A13,'Claim Audit'!$H:$H,"Inaccurate")</f>
        <v>0</v>
      </c>
      <c r="J13" s="5">
        <f>COUNTIFS('Claim Audit'!$A:$A,A13,'Claim Audit'!$H:$H,"Fabricated")</f>
        <v>0</v>
      </c>
      <c r="K13" s="6">
        <f t="shared" si="0"/>
        <v>1</v>
      </c>
      <c r="L13" s="5" t="str">
        <f t="shared" si="1"/>
        <v>Yes</v>
      </c>
      <c r="M13" s="5" t="s">
        <v>515</v>
      </c>
      <c r="N13" s="5">
        <v>9.2100000000000009</v>
      </c>
      <c r="O13" s="5"/>
    </row>
    <row r="14" spans="1:15" ht="28" x14ac:dyDescent="0.2">
      <c r="A14" s="5" t="s">
        <v>316</v>
      </c>
      <c r="B14" s="5" t="s">
        <v>317</v>
      </c>
      <c r="C14" s="5" t="s">
        <v>35</v>
      </c>
      <c r="D14" s="5">
        <v>13</v>
      </c>
      <c r="E14" s="5" t="s">
        <v>515</v>
      </c>
      <c r="F14" s="5">
        <v>0</v>
      </c>
      <c r="G14" s="5">
        <f>COUNTIF('Claim Audit'!$A:$A,A14)</f>
        <v>23</v>
      </c>
      <c r="H14" s="5">
        <f>COUNTIFS('Claim Audit'!$A:$A,A14,'Claim Audit'!$H:$H,"Accurate")</f>
        <v>23</v>
      </c>
      <c r="I14" s="5">
        <f>COUNTIFS('Claim Audit'!$A:$A,A14,'Claim Audit'!$H:$H,"Inaccurate")</f>
        <v>0</v>
      </c>
      <c r="J14" s="5">
        <f>COUNTIFS('Claim Audit'!$A:$A,A14,'Claim Audit'!$H:$H,"Fabricated")</f>
        <v>0</v>
      </c>
      <c r="K14" s="6">
        <f t="shared" si="0"/>
        <v>1</v>
      </c>
      <c r="L14" s="5" t="str">
        <f t="shared" si="1"/>
        <v>Yes</v>
      </c>
      <c r="M14" s="5" t="s">
        <v>515</v>
      </c>
      <c r="N14" s="5">
        <v>10.45</v>
      </c>
      <c r="O14" s="5"/>
    </row>
    <row r="15" spans="1:15" ht="28" x14ac:dyDescent="0.2">
      <c r="A15" s="5" t="s">
        <v>347</v>
      </c>
      <c r="B15" s="5" t="s">
        <v>317</v>
      </c>
      <c r="C15" s="5" t="s">
        <v>35</v>
      </c>
      <c r="D15" s="5">
        <v>14</v>
      </c>
      <c r="E15" s="5" t="s">
        <v>515</v>
      </c>
      <c r="F15" s="5">
        <v>0</v>
      </c>
      <c r="G15" s="5">
        <f>COUNTIF('Claim Audit'!$A:$A,A15)</f>
        <v>26</v>
      </c>
      <c r="H15" s="5">
        <f>COUNTIFS('Claim Audit'!$A:$A,A15,'Claim Audit'!$H:$H,"Accurate")</f>
        <v>26</v>
      </c>
      <c r="I15" s="5">
        <f>COUNTIFS('Claim Audit'!$A:$A,A15,'Claim Audit'!$H:$H,"Inaccurate")</f>
        <v>0</v>
      </c>
      <c r="J15" s="5">
        <f>COUNTIFS('Claim Audit'!$A:$A,A15,'Claim Audit'!$H:$H,"Fabricated")</f>
        <v>0</v>
      </c>
      <c r="K15" s="6">
        <f t="shared" si="0"/>
        <v>1</v>
      </c>
      <c r="L15" s="5" t="str">
        <f t="shared" si="1"/>
        <v>Yes</v>
      </c>
      <c r="M15" s="5" t="s">
        <v>515</v>
      </c>
      <c r="N15" s="5">
        <v>11.26</v>
      </c>
      <c r="O15" s="5"/>
    </row>
    <row r="16" spans="1:15" ht="28" x14ac:dyDescent="0.2">
      <c r="A16" s="5" t="s">
        <v>379</v>
      </c>
      <c r="B16" s="5" t="s">
        <v>380</v>
      </c>
      <c r="C16" s="5" t="s">
        <v>35</v>
      </c>
      <c r="D16" s="5">
        <v>15</v>
      </c>
      <c r="E16" s="5" t="s">
        <v>515</v>
      </c>
      <c r="F16" s="5">
        <v>0</v>
      </c>
      <c r="G16" s="5">
        <f>COUNTIF('Claim Audit'!$A:$A,A16)</f>
        <v>22</v>
      </c>
      <c r="H16" s="5">
        <f>COUNTIFS('Claim Audit'!$A:$A,A16,'Claim Audit'!$H:$H,"Accurate")</f>
        <v>22</v>
      </c>
      <c r="I16" s="5">
        <f>COUNTIFS('Claim Audit'!$A:$A,A16,'Claim Audit'!$H:$H,"Inaccurate")</f>
        <v>0</v>
      </c>
      <c r="J16" s="5">
        <f>COUNTIFS('Claim Audit'!$A:$A,A16,'Claim Audit'!$H:$H,"Fabricated")</f>
        <v>0</v>
      </c>
      <c r="K16" s="6">
        <f t="shared" si="0"/>
        <v>1</v>
      </c>
      <c r="L16" s="5" t="str">
        <f t="shared" si="1"/>
        <v>Yes</v>
      </c>
      <c r="M16" s="5" t="s">
        <v>515</v>
      </c>
      <c r="N16" s="5">
        <v>10.26</v>
      </c>
      <c r="O16" s="5"/>
    </row>
    <row r="17" spans="1:15" ht="28" x14ac:dyDescent="0.2">
      <c r="A17" s="5" t="s">
        <v>409</v>
      </c>
      <c r="B17" s="5" t="s">
        <v>380</v>
      </c>
      <c r="C17" s="5" t="s">
        <v>35</v>
      </c>
      <c r="D17" s="5">
        <v>16</v>
      </c>
      <c r="E17" s="5" t="s">
        <v>515</v>
      </c>
      <c r="F17" s="5">
        <v>0</v>
      </c>
      <c r="G17" s="5">
        <f>COUNTIF('Claim Audit'!$A:$A,A17)</f>
        <v>22</v>
      </c>
      <c r="H17" s="5">
        <f>COUNTIFS('Claim Audit'!$A:$A,A17,'Claim Audit'!$H:$H,"Accurate")</f>
        <v>22</v>
      </c>
      <c r="I17" s="5">
        <f>COUNTIFS('Claim Audit'!$A:$A,A17,'Claim Audit'!$H:$H,"Inaccurate")</f>
        <v>0</v>
      </c>
      <c r="J17" s="5">
        <f>COUNTIFS('Claim Audit'!$A:$A,A17,'Claim Audit'!$H:$H,"Fabricated")</f>
        <v>0</v>
      </c>
      <c r="K17" s="6">
        <f t="shared" si="0"/>
        <v>1</v>
      </c>
      <c r="L17" s="5" t="str">
        <f t="shared" si="1"/>
        <v>Yes</v>
      </c>
      <c r="M17" s="5" t="s">
        <v>515</v>
      </c>
      <c r="N17" s="5">
        <v>9.7200000000000006</v>
      </c>
      <c r="O17" s="5"/>
    </row>
    <row r="18" spans="1:15" ht="28" x14ac:dyDescent="0.2">
      <c r="A18" s="5" t="s">
        <v>438</v>
      </c>
      <c r="B18" s="5" t="s">
        <v>439</v>
      </c>
      <c r="C18" s="5" t="s">
        <v>35</v>
      </c>
      <c r="D18" s="5">
        <v>17</v>
      </c>
      <c r="E18" s="5" t="s">
        <v>515</v>
      </c>
      <c r="F18" s="5">
        <v>0</v>
      </c>
      <c r="G18" s="5">
        <f>COUNTIF('Claim Audit'!$A:$A,A18)</f>
        <v>21</v>
      </c>
      <c r="H18" s="5">
        <f>COUNTIFS('Claim Audit'!$A:$A,A18,'Claim Audit'!$H:$H,"Accurate")</f>
        <v>21</v>
      </c>
      <c r="I18" s="5">
        <f>COUNTIFS('Claim Audit'!$A:$A,A18,'Claim Audit'!$H:$H,"Inaccurate")</f>
        <v>0</v>
      </c>
      <c r="J18" s="5">
        <f>COUNTIFS('Claim Audit'!$A:$A,A18,'Claim Audit'!$H:$H,"Fabricated")</f>
        <v>0</v>
      </c>
      <c r="K18" s="6">
        <f t="shared" si="0"/>
        <v>1</v>
      </c>
      <c r="L18" s="5" t="str">
        <f t="shared" si="1"/>
        <v>Yes</v>
      </c>
      <c r="M18" s="5" t="s">
        <v>515</v>
      </c>
      <c r="N18" s="5">
        <v>9.75</v>
      </c>
      <c r="O18" s="5"/>
    </row>
    <row r="19" spans="1:15" ht="28" x14ac:dyDescent="0.2">
      <c r="A19" s="5" t="s">
        <v>470</v>
      </c>
      <c r="B19" s="5" t="s">
        <v>439</v>
      </c>
      <c r="C19" s="5" t="s">
        <v>35</v>
      </c>
      <c r="D19" s="5">
        <v>18</v>
      </c>
      <c r="E19" s="5" t="s">
        <v>515</v>
      </c>
      <c r="F19" s="5">
        <v>0</v>
      </c>
      <c r="G19" s="5">
        <f>COUNTIF('Claim Audit'!$A:$A,A19)</f>
        <v>18</v>
      </c>
      <c r="H19" s="5">
        <f>COUNTIFS('Claim Audit'!$A:$A,A19,'Claim Audit'!$H:$H,"Accurate")</f>
        <v>18</v>
      </c>
      <c r="I19" s="5">
        <f>COUNTIFS('Claim Audit'!$A:$A,A19,'Claim Audit'!$H:$H,"Inaccurate")</f>
        <v>0</v>
      </c>
      <c r="J19" s="5">
        <f>COUNTIFS('Claim Audit'!$A:$A,A19,'Claim Audit'!$H:$H,"Fabricated")</f>
        <v>0</v>
      </c>
      <c r="K19" s="6">
        <f t="shared" si="0"/>
        <v>1</v>
      </c>
      <c r="L19" s="5" t="str">
        <f t="shared" si="1"/>
        <v>Yes</v>
      </c>
      <c r="M19" s="5" t="s">
        <v>515</v>
      </c>
      <c r="N19" s="5">
        <v>7.95</v>
      </c>
      <c r="O19" s="5"/>
    </row>
    <row r="20" spans="1:15" ht="84" x14ac:dyDescent="0.2">
      <c r="A20" s="5" t="s">
        <v>492</v>
      </c>
      <c r="B20" s="5" t="s">
        <v>493</v>
      </c>
      <c r="C20" s="5" t="s">
        <v>94</v>
      </c>
      <c r="D20" s="5">
        <v>19</v>
      </c>
      <c r="E20" s="5" t="s">
        <v>520</v>
      </c>
      <c r="F20" s="5"/>
      <c r="G20" s="5">
        <f>COUNTIF('Claim Audit'!$A:$A,A20)</f>
        <v>0</v>
      </c>
      <c r="H20" s="5">
        <f>COUNTIFS('Claim Audit'!$A:$A,A20,'Claim Audit'!$H:$H,"Accurate")</f>
        <v>0</v>
      </c>
      <c r="I20" s="5">
        <f>COUNTIFS('Claim Audit'!$A:$A,A20,'Claim Audit'!$H:$H,"Inaccurate")</f>
        <v>0</v>
      </c>
      <c r="J20" s="5">
        <f>COUNTIFS('Claim Audit'!$A:$A,A20,'Claim Audit'!$H:$H,"Fabricated")</f>
        <v>0</v>
      </c>
      <c r="K20" s="6" t="str">
        <f t="shared" si="0"/>
        <v/>
      </c>
      <c r="L20" s="5"/>
      <c r="M20" s="5"/>
      <c r="N20" s="5"/>
      <c r="O20" s="5" t="s">
        <v>505</v>
      </c>
    </row>
    <row r="21" spans="1:15" ht="84" x14ac:dyDescent="0.2">
      <c r="A21" s="5" t="s">
        <v>494</v>
      </c>
      <c r="B21" s="5" t="s">
        <v>493</v>
      </c>
      <c r="C21" s="5" t="s">
        <v>94</v>
      </c>
      <c r="D21" s="5">
        <v>20</v>
      </c>
      <c r="E21" s="5" t="s">
        <v>520</v>
      </c>
      <c r="F21" s="5"/>
      <c r="G21" s="5">
        <f>COUNTIF('Claim Audit'!$A:$A,A21)</f>
        <v>0</v>
      </c>
      <c r="H21" s="5">
        <f>COUNTIFS('Claim Audit'!$A:$A,A21,'Claim Audit'!$H:$H,"Accurate")</f>
        <v>0</v>
      </c>
      <c r="I21" s="5">
        <f>COUNTIFS('Claim Audit'!$A:$A,A21,'Claim Audit'!$H:$H,"Inaccurate")</f>
        <v>0</v>
      </c>
      <c r="J21" s="5">
        <f>COUNTIFS('Claim Audit'!$A:$A,A21,'Claim Audit'!$H:$H,"Fabricated")</f>
        <v>0</v>
      </c>
      <c r="K21" s="6" t="str">
        <f t="shared" si="0"/>
        <v/>
      </c>
      <c r="L21" s="5"/>
      <c r="M21" s="5"/>
      <c r="N21" s="5"/>
      <c r="O21" s="5" t="s">
        <v>505</v>
      </c>
    </row>
    <row r="22" spans="1:15" x14ac:dyDescent="0.2">
      <c r="A22" s="5"/>
      <c r="B22" s="5"/>
      <c r="C22" s="5"/>
      <c r="D22" s="5"/>
      <c r="E22" s="5"/>
      <c r="F22" s="5"/>
      <c r="G22" s="5"/>
      <c r="H22" s="5"/>
      <c r="I22" s="5"/>
      <c r="J22" s="5"/>
      <c r="K22" s="6"/>
      <c r="L22" s="5"/>
      <c r="M22" s="5"/>
      <c r="N22" s="5"/>
      <c r="O22" s="5"/>
    </row>
    <row r="23" spans="1:15" x14ac:dyDescent="0.2">
      <c r="A23" s="5"/>
      <c r="B23" s="5"/>
      <c r="C23" s="5"/>
      <c r="D23" s="5"/>
      <c r="E23" s="5"/>
      <c r="F23" s="5"/>
      <c r="G23" s="5"/>
      <c r="H23" s="5"/>
      <c r="I23" s="5"/>
      <c r="J23" s="5"/>
      <c r="K23" s="6"/>
      <c r="L23" s="5"/>
      <c r="M23" s="5"/>
      <c r="N23" s="5"/>
      <c r="O23" s="5"/>
    </row>
    <row r="24" spans="1:15" x14ac:dyDescent="0.2">
      <c r="A24" s="5"/>
      <c r="B24" s="5"/>
      <c r="C24" s="5"/>
      <c r="D24" s="5"/>
      <c r="E24" s="5"/>
      <c r="F24" s="5"/>
      <c r="G24" s="5"/>
      <c r="H24" s="5"/>
      <c r="I24" s="5"/>
      <c r="J24" s="5"/>
      <c r="K24" s="6"/>
      <c r="L24" s="5"/>
      <c r="M24" s="5"/>
      <c r="N24" s="5"/>
      <c r="O24" s="5"/>
    </row>
    <row r="25" spans="1:15" x14ac:dyDescent="0.2">
      <c r="A25" s="5"/>
      <c r="B25" s="5"/>
      <c r="C25" s="5"/>
      <c r="D25" s="5"/>
      <c r="E25" s="5"/>
      <c r="F25" s="5"/>
      <c r="G25" s="5"/>
      <c r="H25" s="5"/>
      <c r="I25" s="5"/>
      <c r="J25" s="5"/>
      <c r="K25" s="6"/>
      <c r="L25" s="5"/>
      <c r="M25" s="5"/>
      <c r="N25" s="5"/>
      <c r="O25" s="5"/>
    </row>
    <row r="26" spans="1:15" x14ac:dyDescent="0.2">
      <c r="A26" s="5"/>
      <c r="B26" s="5"/>
      <c r="C26" s="5"/>
      <c r="D26" s="5"/>
      <c r="E26" s="5"/>
      <c r="F26" s="5"/>
      <c r="G26" s="5"/>
      <c r="H26" s="5"/>
      <c r="I26" s="5"/>
      <c r="J26" s="5"/>
      <c r="K26" s="6"/>
      <c r="L26" s="5"/>
      <c r="M26" s="5"/>
      <c r="N26" s="5"/>
      <c r="O26" s="5"/>
    </row>
    <row r="27" spans="1:15" x14ac:dyDescent="0.2">
      <c r="A27" s="5"/>
      <c r="B27" s="5"/>
      <c r="C27" s="5"/>
      <c r="D27" s="5"/>
      <c r="E27" s="5"/>
      <c r="F27" s="5"/>
      <c r="G27" s="5"/>
      <c r="H27" s="5"/>
      <c r="I27" s="5"/>
      <c r="J27" s="5"/>
      <c r="K27" s="6"/>
      <c r="L27" s="5"/>
      <c r="M27" s="5"/>
      <c r="N27" s="5"/>
      <c r="O27" s="5"/>
    </row>
    <row r="28" spans="1:15" x14ac:dyDescent="0.2">
      <c r="A28" s="5"/>
      <c r="B28" s="5"/>
      <c r="C28" s="5"/>
      <c r="D28" s="5"/>
      <c r="E28" s="5"/>
      <c r="F28" s="5"/>
      <c r="G28" s="5"/>
      <c r="H28" s="5"/>
      <c r="I28" s="5"/>
      <c r="J28" s="5"/>
      <c r="K28" s="6"/>
      <c r="L28" s="5"/>
      <c r="M28" s="5"/>
      <c r="N28" s="5"/>
      <c r="O28" s="5"/>
    </row>
    <row r="29" spans="1:15" x14ac:dyDescent="0.2">
      <c r="A29" s="5"/>
      <c r="B29" s="5"/>
      <c r="C29" s="5"/>
      <c r="D29" s="5"/>
      <c r="E29" s="5"/>
      <c r="F29" s="5"/>
      <c r="G29" s="5"/>
      <c r="H29" s="5"/>
      <c r="I29" s="5"/>
      <c r="J29" s="5"/>
      <c r="K29" s="6"/>
      <c r="L29" s="5"/>
      <c r="M29" s="5"/>
      <c r="N29" s="5"/>
      <c r="O29" s="5"/>
    </row>
  </sheetData>
  <dataValidations count="1">
    <dataValidation type="list" allowBlank="1" sqref="E2:E50 L2:M50" xr:uid="{00000000-0002-0000-0200-000000000000}">
      <formula1>"Yes,No"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9"/>
  <sheetViews>
    <sheetView workbookViewId="0">
      <pane ySplit="1" topLeftCell="A2" activePane="bottomLeft" state="frozen"/>
      <selection pane="bottomLeft" activeCell="N18" sqref="N18"/>
    </sheetView>
  </sheetViews>
  <sheetFormatPr baseColWidth="10" defaultColWidth="8.83203125" defaultRowHeight="15" x14ac:dyDescent="0.2"/>
  <cols>
    <col min="1" max="1" width="10" customWidth="1"/>
    <col min="2" max="2" width="28" customWidth="1"/>
    <col min="3" max="4" width="22" customWidth="1"/>
    <col min="5" max="5" width="13" customWidth="1"/>
    <col min="6" max="6" width="12" customWidth="1"/>
    <col min="7" max="7" width="15" customWidth="1"/>
    <col min="8" max="10" width="14" customWidth="1"/>
    <col min="11" max="11" width="12" customWidth="1"/>
    <col min="12" max="13" width="14" customWidth="1"/>
    <col min="14" max="14" width="18" customWidth="1"/>
    <col min="15" max="15" width="16" customWidth="1"/>
    <col min="16" max="16" width="20" customWidth="1"/>
    <col min="17" max="17" width="16" customWidth="1"/>
    <col min="18" max="18" width="25" customWidth="1"/>
  </cols>
  <sheetData>
    <row r="1" spans="1:18" ht="28" x14ac:dyDescent="0.2">
      <c r="A1" s="3" t="s">
        <v>24</v>
      </c>
      <c r="B1" s="3" t="s">
        <v>25</v>
      </c>
      <c r="C1" s="3" t="s">
        <v>506</v>
      </c>
      <c r="D1" s="3" t="s">
        <v>597</v>
      </c>
      <c r="E1" s="3" t="s">
        <v>507</v>
      </c>
      <c r="F1" s="3" t="s">
        <v>508</v>
      </c>
      <c r="G1" s="3" t="s">
        <v>509</v>
      </c>
      <c r="H1" s="3" t="s">
        <v>26</v>
      </c>
      <c r="I1" s="3" t="s">
        <v>593</v>
      </c>
      <c r="J1" s="3" t="s">
        <v>594</v>
      </c>
      <c r="K1" s="3" t="s">
        <v>510</v>
      </c>
      <c r="L1" s="3" t="s">
        <v>595</v>
      </c>
      <c r="M1" s="3" t="s">
        <v>603</v>
      </c>
      <c r="N1" s="3" t="s">
        <v>596</v>
      </c>
      <c r="O1" s="3" t="s">
        <v>511</v>
      </c>
      <c r="P1" s="3" t="s">
        <v>512</v>
      </c>
      <c r="Q1" s="3" t="s">
        <v>513</v>
      </c>
      <c r="R1" s="3" t="s">
        <v>32</v>
      </c>
    </row>
    <row r="2" spans="1:18" ht="56" x14ac:dyDescent="0.2">
      <c r="A2" s="5" t="s">
        <v>33</v>
      </c>
      <c r="B2" s="5" t="s">
        <v>34</v>
      </c>
      <c r="C2" s="5" t="s">
        <v>514</v>
      </c>
      <c r="D2" s="5" t="s">
        <v>515</v>
      </c>
      <c r="E2" s="5" t="s">
        <v>515</v>
      </c>
      <c r="F2" s="5" t="s">
        <v>515</v>
      </c>
      <c r="G2" s="5" t="s">
        <v>515</v>
      </c>
      <c r="H2" s="5" t="s">
        <v>35</v>
      </c>
      <c r="I2" s="5" t="s">
        <v>35</v>
      </c>
      <c r="J2" s="5" t="s">
        <v>515</v>
      </c>
      <c r="K2" s="5" t="s">
        <v>515</v>
      </c>
      <c r="L2" s="5" t="s">
        <v>515</v>
      </c>
      <c r="M2" s="5" t="s">
        <v>515</v>
      </c>
      <c r="N2" s="5" t="s">
        <v>515</v>
      </c>
      <c r="O2" s="5" t="s">
        <v>515</v>
      </c>
      <c r="P2" s="5" t="s">
        <v>515</v>
      </c>
      <c r="Q2" s="5"/>
      <c r="R2" s="5"/>
    </row>
    <row r="3" spans="1:18" ht="56" x14ac:dyDescent="0.2">
      <c r="A3" s="5" t="s">
        <v>67</v>
      </c>
      <c r="B3" s="5" t="s">
        <v>34</v>
      </c>
      <c r="C3" s="5" t="s">
        <v>514</v>
      </c>
      <c r="D3" s="5" t="s">
        <v>515</v>
      </c>
      <c r="E3" s="5" t="s">
        <v>515</v>
      </c>
      <c r="F3" s="5" t="s">
        <v>515</v>
      </c>
      <c r="G3" s="5" t="s">
        <v>515</v>
      </c>
      <c r="H3" s="5" t="s">
        <v>35</v>
      </c>
      <c r="I3" s="5" t="s">
        <v>35</v>
      </c>
      <c r="J3" s="5" t="s">
        <v>515</v>
      </c>
      <c r="K3" s="5" t="s">
        <v>515</v>
      </c>
      <c r="L3" s="5" t="s">
        <v>515</v>
      </c>
      <c r="M3" s="5" t="s">
        <v>515</v>
      </c>
      <c r="N3" s="5" t="s">
        <v>515</v>
      </c>
      <c r="O3" s="5" t="s">
        <v>515</v>
      </c>
      <c r="P3" s="5" t="s">
        <v>515</v>
      </c>
      <c r="Q3" s="5"/>
      <c r="R3" s="5"/>
    </row>
    <row r="4" spans="1:18" ht="98" x14ac:dyDescent="0.2">
      <c r="A4" s="5" t="s">
        <v>92</v>
      </c>
      <c r="B4" s="5" t="s">
        <v>93</v>
      </c>
      <c r="C4" s="5" t="s">
        <v>516</v>
      </c>
      <c r="D4" s="5" t="s">
        <v>520</v>
      </c>
      <c r="E4" s="5" t="s">
        <v>515</v>
      </c>
      <c r="F4" s="5" t="s">
        <v>515</v>
      </c>
      <c r="G4" s="5" t="s">
        <v>515</v>
      </c>
      <c r="H4" s="5" t="s">
        <v>94</v>
      </c>
      <c r="I4" s="5" t="s">
        <v>35</v>
      </c>
      <c r="J4" s="5" t="s">
        <v>520</v>
      </c>
      <c r="K4" s="5" t="s">
        <v>515</v>
      </c>
      <c r="L4" s="5" t="s">
        <v>515</v>
      </c>
      <c r="M4" s="5" t="s">
        <v>515</v>
      </c>
      <c r="N4" s="5" t="s">
        <v>520</v>
      </c>
      <c r="O4" s="5" t="s">
        <v>515</v>
      </c>
      <c r="P4" s="5" t="s">
        <v>515</v>
      </c>
      <c r="Q4" s="5" t="s">
        <v>602</v>
      </c>
      <c r="R4" s="5"/>
    </row>
    <row r="5" spans="1:18" ht="42" x14ac:dyDescent="0.2">
      <c r="A5" s="5" t="s">
        <v>124</v>
      </c>
      <c r="B5" s="5" t="s">
        <v>93</v>
      </c>
      <c r="C5" s="5" t="s">
        <v>517</v>
      </c>
      <c r="D5" s="5" t="s">
        <v>515</v>
      </c>
      <c r="E5" s="5" t="s">
        <v>515</v>
      </c>
      <c r="F5" s="5" t="s">
        <v>515</v>
      </c>
      <c r="G5" s="5" t="s">
        <v>515</v>
      </c>
      <c r="H5" s="5" t="s">
        <v>125</v>
      </c>
      <c r="I5" s="5" t="s">
        <v>125</v>
      </c>
      <c r="J5" s="5" t="s">
        <v>515</v>
      </c>
      <c r="K5" s="5" t="s">
        <v>515</v>
      </c>
      <c r="L5" s="5" t="s">
        <v>515</v>
      </c>
      <c r="M5" s="5" t="s">
        <v>515</v>
      </c>
      <c r="N5" s="5" t="s">
        <v>515</v>
      </c>
      <c r="O5" s="5" t="s">
        <v>515</v>
      </c>
      <c r="P5" s="5" t="s">
        <v>515</v>
      </c>
      <c r="Q5" s="5"/>
      <c r="R5" s="5"/>
    </row>
    <row r="6" spans="1:18" ht="56" x14ac:dyDescent="0.2">
      <c r="A6" s="5" t="s">
        <v>150</v>
      </c>
      <c r="B6" s="5" t="s">
        <v>151</v>
      </c>
      <c r="C6" s="5" t="s">
        <v>518</v>
      </c>
      <c r="D6" s="5" t="s">
        <v>515</v>
      </c>
      <c r="E6" s="5" t="s">
        <v>515</v>
      </c>
      <c r="F6" s="5" t="s">
        <v>515</v>
      </c>
      <c r="G6" s="5" t="s">
        <v>515</v>
      </c>
      <c r="H6" s="5" t="s">
        <v>94</v>
      </c>
      <c r="I6" s="5" t="s">
        <v>94</v>
      </c>
      <c r="J6" s="5" t="s">
        <v>515</v>
      </c>
      <c r="K6" s="5" t="s">
        <v>515</v>
      </c>
      <c r="L6" s="5" t="s">
        <v>515</v>
      </c>
      <c r="M6" s="5" t="s">
        <v>520</v>
      </c>
      <c r="N6" s="5" t="s">
        <v>520</v>
      </c>
      <c r="O6" s="5" t="s">
        <v>515</v>
      </c>
      <c r="P6" s="5" t="s">
        <v>515</v>
      </c>
      <c r="Q6" s="5" t="s">
        <v>601</v>
      </c>
      <c r="R6" s="5" t="s">
        <v>600</v>
      </c>
    </row>
    <row r="7" spans="1:18" ht="56" x14ac:dyDescent="0.2">
      <c r="A7" s="5" t="s">
        <v>180</v>
      </c>
      <c r="B7" s="5" t="s">
        <v>151</v>
      </c>
      <c r="C7" s="5" t="s">
        <v>518</v>
      </c>
      <c r="D7" s="5" t="s">
        <v>515</v>
      </c>
      <c r="E7" s="5" t="s">
        <v>515</v>
      </c>
      <c r="F7" s="5" t="s">
        <v>515</v>
      </c>
      <c r="G7" s="5" t="s">
        <v>515</v>
      </c>
      <c r="H7" s="5" t="s">
        <v>94</v>
      </c>
      <c r="I7" s="5" t="s">
        <v>94</v>
      </c>
      <c r="J7" s="5" t="s">
        <v>515</v>
      </c>
      <c r="K7" s="5" t="s">
        <v>515</v>
      </c>
      <c r="L7" s="5" t="s">
        <v>515</v>
      </c>
      <c r="M7" s="5" t="s">
        <v>520</v>
      </c>
      <c r="N7" s="5" t="s">
        <v>520</v>
      </c>
      <c r="O7" s="5" t="s">
        <v>515</v>
      </c>
      <c r="P7" s="5" t="s">
        <v>515</v>
      </c>
      <c r="Q7" s="5" t="s">
        <v>601</v>
      </c>
      <c r="R7" s="5"/>
    </row>
    <row r="8" spans="1:18" ht="56" x14ac:dyDescent="0.2">
      <c r="A8" s="5" t="s">
        <v>203</v>
      </c>
      <c r="B8" s="5" t="s">
        <v>204</v>
      </c>
      <c r="C8" s="5" t="s">
        <v>519</v>
      </c>
      <c r="D8" s="5" t="s">
        <v>515</v>
      </c>
      <c r="E8" s="5" t="s">
        <v>515</v>
      </c>
      <c r="F8" s="5" t="s">
        <v>515</v>
      </c>
      <c r="G8" s="5" t="s">
        <v>515</v>
      </c>
      <c r="H8" s="5" t="s">
        <v>94</v>
      </c>
      <c r="I8" s="5" t="s">
        <v>598</v>
      </c>
      <c r="J8" s="5" t="s">
        <v>520</v>
      </c>
      <c r="K8" s="5" t="s">
        <v>515</v>
      </c>
      <c r="L8" s="5" t="s">
        <v>515</v>
      </c>
      <c r="M8" s="5" t="s">
        <v>515</v>
      </c>
      <c r="N8" s="5" t="s">
        <v>515</v>
      </c>
      <c r="O8" s="5" t="s">
        <v>520</v>
      </c>
      <c r="P8" s="5" t="s">
        <v>520</v>
      </c>
      <c r="Q8" s="5" t="s">
        <v>521</v>
      </c>
      <c r="R8" s="5" t="s">
        <v>602</v>
      </c>
    </row>
    <row r="9" spans="1:18" ht="56" x14ac:dyDescent="0.2">
      <c r="A9" s="5" t="s">
        <v>205</v>
      </c>
      <c r="B9" s="5" t="s">
        <v>204</v>
      </c>
      <c r="C9" s="5" t="s">
        <v>519</v>
      </c>
      <c r="D9" s="5" t="s">
        <v>515</v>
      </c>
      <c r="E9" s="5" t="s">
        <v>515</v>
      </c>
      <c r="F9" s="5" t="s">
        <v>515</v>
      </c>
      <c r="G9" s="5" t="s">
        <v>515</v>
      </c>
      <c r="H9" s="5" t="s">
        <v>94</v>
      </c>
      <c r="I9" s="5" t="s">
        <v>598</v>
      </c>
      <c r="J9" s="5" t="s">
        <v>520</v>
      </c>
      <c r="K9" s="5" t="s">
        <v>515</v>
      </c>
      <c r="L9" s="5" t="s">
        <v>515</v>
      </c>
      <c r="M9" s="5" t="s">
        <v>515</v>
      </c>
      <c r="N9" s="5" t="s">
        <v>515</v>
      </c>
      <c r="O9" s="5" t="s">
        <v>520</v>
      </c>
      <c r="P9" s="5" t="s">
        <v>520</v>
      </c>
      <c r="Q9" s="5" t="s">
        <v>521</v>
      </c>
      <c r="R9" s="5" t="s">
        <v>602</v>
      </c>
    </row>
    <row r="10" spans="1:18" ht="28" x14ac:dyDescent="0.2">
      <c r="A10" s="5" t="s">
        <v>206</v>
      </c>
      <c r="B10" s="5" t="s">
        <v>207</v>
      </c>
      <c r="C10" s="5" t="s">
        <v>522</v>
      </c>
      <c r="D10" s="5" t="s">
        <v>515</v>
      </c>
      <c r="E10" s="5" t="s">
        <v>515</v>
      </c>
      <c r="F10" s="5" t="s">
        <v>515</v>
      </c>
      <c r="G10" s="5" t="s">
        <v>515</v>
      </c>
      <c r="H10" s="5" t="s">
        <v>35</v>
      </c>
      <c r="I10" s="5" t="s">
        <v>599</v>
      </c>
      <c r="J10" s="5" t="s">
        <v>520</v>
      </c>
      <c r="K10" s="5" t="s">
        <v>515</v>
      </c>
      <c r="L10" s="5" t="s">
        <v>515</v>
      </c>
      <c r="M10" s="5" t="s">
        <v>515</v>
      </c>
      <c r="N10" s="5" t="s">
        <v>515</v>
      </c>
      <c r="O10" s="5" t="s">
        <v>515</v>
      </c>
      <c r="P10" s="5" t="s">
        <v>515</v>
      </c>
      <c r="Q10" s="5"/>
      <c r="R10" s="5"/>
    </row>
    <row r="11" spans="1:18" ht="28" x14ac:dyDescent="0.2">
      <c r="A11" s="5" t="s">
        <v>236</v>
      </c>
      <c r="B11" s="5" t="s">
        <v>207</v>
      </c>
      <c r="C11" s="5" t="s">
        <v>522</v>
      </c>
      <c r="D11" s="5" t="s">
        <v>515</v>
      </c>
      <c r="E11" s="5" t="s">
        <v>515</v>
      </c>
      <c r="F11" s="5" t="s">
        <v>515</v>
      </c>
      <c r="G11" s="5" t="s">
        <v>515</v>
      </c>
      <c r="H11" s="5" t="s">
        <v>35</v>
      </c>
      <c r="I11" s="5" t="s">
        <v>599</v>
      </c>
      <c r="J11" s="5" t="s">
        <v>520</v>
      </c>
      <c r="K11" s="5" t="s">
        <v>515</v>
      </c>
      <c r="L11" s="5" t="s">
        <v>515</v>
      </c>
      <c r="M11" s="5" t="s">
        <v>515</v>
      </c>
      <c r="N11" s="5" t="s">
        <v>515</v>
      </c>
      <c r="O11" s="5" t="s">
        <v>515</v>
      </c>
      <c r="P11" s="5" t="s">
        <v>515</v>
      </c>
      <c r="Q11" s="5"/>
      <c r="R11" s="5"/>
    </row>
    <row r="12" spans="1:18" ht="56" x14ac:dyDescent="0.2">
      <c r="A12" s="5" t="s">
        <v>259</v>
      </c>
      <c r="B12" s="5" t="s">
        <v>260</v>
      </c>
      <c r="C12" s="5" t="s">
        <v>523</v>
      </c>
      <c r="D12" s="5" t="s">
        <v>515</v>
      </c>
      <c r="E12" s="5" t="s">
        <v>515</v>
      </c>
      <c r="F12" s="5" t="s">
        <v>515</v>
      </c>
      <c r="G12" s="5" t="s">
        <v>515</v>
      </c>
      <c r="H12" s="5" t="s">
        <v>35</v>
      </c>
      <c r="I12" s="5" t="s">
        <v>35</v>
      </c>
      <c r="J12" s="5" t="s">
        <v>515</v>
      </c>
      <c r="K12" s="5" t="s">
        <v>515</v>
      </c>
      <c r="L12" s="5" t="s">
        <v>515</v>
      </c>
      <c r="M12" s="5" t="s">
        <v>515</v>
      </c>
      <c r="N12" s="5" t="s">
        <v>515</v>
      </c>
      <c r="O12" s="5" t="s">
        <v>515</v>
      </c>
      <c r="P12" s="5" t="s">
        <v>515</v>
      </c>
      <c r="Q12" s="5"/>
      <c r="R12" s="5"/>
    </row>
    <row r="13" spans="1:18" ht="56" x14ac:dyDescent="0.2">
      <c r="A13" s="5" t="s">
        <v>289</v>
      </c>
      <c r="B13" s="5" t="s">
        <v>260</v>
      </c>
      <c r="C13" s="5" t="s">
        <v>523</v>
      </c>
      <c r="D13" s="5" t="s">
        <v>515</v>
      </c>
      <c r="E13" s="5" t="s">
        <v>515</v>
      </c>
      <c r="F13" s="5" t="s">
        <v>515</v>
      </c>
      <c r="G13" s="5" t="s">
        <v>515</v>
      </c>
      <c r="H13" s="5" t="s">
        <v>35</v>
      </c>
      <c r="I13" s="5" t="s">
        <v>35</v>
      </c>
      <c r="J13" s="5" t="s">
        <v>515</v>
      </c>
      <c r="K13" s="5" t="s">
        <v>515</v>
      </c>
      <c r="L13" s="5" t="s">
        <v>515</v>
      </c>
      <c r="M13" s="5" t="s">
        <v>515</v>
      </c>
      <c r="N13" s="5" t="s">
        <v>515</v>
      </c>
      <c r="O13" s="5" t="s">
        <v>515</v>
      </c>
      <c r="P13" s="5" t="s">
        <v>515</v>
      </c>
      <c r="Q13" s="5"/>
      <c r="R13" s="5"/>
    </row>
    <row r="14" spans="1:18" ht="112" x14ac:dyDescent="0.2">
      <c r="A14" s="5" t="s">
        <v>316</v>
      </c>
      <c r="B14" s="5" t="s">
        <v>317</v>
      </c>
      <c r="C14" s="5" t="s">
        <v>524</v>
      </c>
      <c r="D14" s="5" t="s">
        <v>515</v>
      </c>
      <c r="E14" s="5" t="s">
        <v>515</v>
      </c>
      <c r="F14" s="5" t="s">
        <v>515</v>
      </c>
      <c r="G14" s="5" t="s">
        <v>515</v>
      </c>
      <c r="H14" s="5" t="s">
        <v>35</v>
      </c>
      <c r="I14" s="5" t="s">
        <v>35</v>
      </c>
      <c r="J14" s="5" t="s">
        <v>515</v>
      </c>
      <c r="K14" s="5" t="s">
        <v>515</v>
      </c>
      <c r="L14" s="5" t="s">
        <v>515</v>
      </c>
      <c r="M14" s="5" t="s">
        <v>515</v>
      </c>
      <c r="N14" s="5" t="s">
        <v>515</v>
      </c>
      <c r="O14" s="5" t="s">
        <v>515</v>
      </c>
      <c r="P14" s="5" t="s">
        <v>515</v>
      </c>
      <c r="Q14" s="5"/>
      <c r="R14" s="5"/>
    </row>
    <row r="15" spans="1:18" ht="112" x14ac:dyDescent="0.2">
      <c r="A15" s="5" t="s">
        <v>347</v>
      </c>
      <c r="B15" s="5" t="s">
        <v>317</v>
      </c>
      <c r="C15" s="5" t="s">
        <v>524</v>
      </c>
      <c r="D15" s="5" t="s">
        <v>515</v>
      </c>
      <c r="E15" s="5" t="s">
        <v>515</v>
      </c>
      <c r="F15" s="5" t="s">
        <v>515</v>
      </c>
      <c r="G15" s="5" t="s">
        <v>515</v>
      </c>
      <c r="H15" s="5" t="s">
        <v>35</v>
      </c>
      <c r="I15" s="5" t="s">
        <v>35</v>
      </c>
      <c r="J15" s="5" t="s">
        <v>515</v>
      </c>
      <c r="K15" s="5" t="s">
        <v>515</v>
      </c>
      <c r="L15" s="5" t="s">
        <v>515</v>
      </c>
      <c r="M15" s="5" t="s">
        <v>515</v>
      </c>
      <c r="N15" s="5" t="s">
        <v>515</v>
      </c>
      <c r="O15" s="5" t="s">
        <v>515</v>
      </c>
      <c r="P15" s="5" t="s">
        <v>515</v>
      </c>
      <c r="Q15" s="5"/>
      <c r="R15" s="5"/>
    </row>
    <row r="16" spans="1:18" ht="84" x14ac:dyDescent="0.2">
      <c r="A16" s="5" t="s">
        <v>379</v>
      </c>
      <c r="B16" s="5" t="s">
        <v>380</v>
      </c>
      <c r="C16" s="5" t="s">
        <v>525</v>
      </c>
      <c r="D16" s="5" t="s">
        <v>515</v>
      </c>
      <c r="E16" s="5" t="s">
        <v>515</v>
      </c>
      <c r="F16" s="5" t="s">
        <v>515</v>
      </c>
      <c r="G16" s="5" t="s">
        <v>515</v>
      </c>
      <c r="H16" s="5" t="s">
        <v>35</v>
      </c>
      <c r="I16" s="5" t="s">
        <v>35</v>
      </c>
      <c r="J16" s="5" t="s">
        <v>515</v>
      </c>
      <c r="K16" s="5" t="s">
        <v>515</v>
      </c>
      <c r="L16" s="5" t="s">
        <v>515</v>
      </c>
      <c r="M16" s="5" t="s">
        <v>515</v>
      </c>
      <c r="N16" s="5" t="s">
        <v>520</v>
      </c>
      <c r="O16" s="5" t="s">
        <v>515</v>
      </c>
      <c r="P16" s="5" t="s">
        <v>515</v>
      </c>
      <c r="Q16" s="5" t="s">
        <v>604</v>
      </c>
      <c r="R16" s="5"/>
    </row>
    <row r="17" spans="1:18" ht="84" x14ac:dyDescent="0.2">
      <c r="A17" s="5" t="s">
        <v>409</v>
      </c>
      <c r="B17" s="5" t="s">
        <v>380</v>
      </c>
      <c r="C17" s="5" t="s">
        <v>525</v>
      </c>
      <c r="D17" s="5" t="s">
        <v>515</v>
      </c>
      <c r="E17" s="5" t="s">
        <v>515</v>
      </c>
      <c r="F17" s="5" t="s">
        <v>515</v>
      </c>
      <c r="G17" s="5" t="s">
        <v>515</v>
      </c>
      <c r="H17" s="5" t="s">
        <v>35</v>
      </c>
      <c r="I17" s="5" t="s">
        <v>35</v>
      </c>
      <c r="J17" s="5" t="s">
        <v>515</v>
      </c>
      <c r="K17" s="5" t="s">
        <v>515</v>
      </c>
      <c r="L17" s="5" t="s">
        <v>515</v>
      </c>
      <c r="M17" s="5" t="s">
        <v>515</v>
      </c>
      <c r="N17" s="5" t="s">
        <v>520</v>
      </c>
      <c r="O17" s="5" t="s">
        <v>515</v>
      </c>
      <c r="P17" s="5" t="s">
        <v>515</v>
      </c>
      <c r="Q17" s="5" t="s">
        <v>604</v>
      </c>
      <c r="R17" s="5"/>
    </row>
    <row r="18" spans="1:18" ht="56" x14ac:dyDescent="0.2">
      <c r="A18" s="5" t="s">
        <v>438</v>
      </c>
      <c r="B18" s="5" t="s">
        <v>439</v>
      </c>
      <c r="C18" s="5" t="s">
        <v>526</v>
      </c>
      <c r="D18" s="5" t="s">
        <v>515</v>
      </c>
      <c r="E18" s="5" t="s">
        <v>515</v>
      </c>
      <c r="F18" s="5" t="s">
        <v>515</v>
      </c>
      <c r="G18" s="5" t="s">
        <v>515</v>
      </c>
      <c r="H18" s="5" t="s">
        <v>35</v>
      </c>
      <c r="I18" s="5" t="s">
        <v>35</v>
      </c>
      <c r="J18" s="5" t="s">
        <v>515</v>
      </c>
      <c r="K18" s="5" t="s">
        <v>515</v>
      </c>
      <c r="L18" s="5" t="s">
        <v>515</v>
      </c>
      <c r="M18" s="5" t="s">
        <v>515</v>
      </c>
      <c r="N18" s="5" t="s">
        <v>515</v>
      </c>
      <c r="O18" s="5" t="s">
        <v>515</v>
      </c>
      <c r="P18" s="5" t="s">
        <v>515</v>
      </c>
      <c r="Q18" s="5"/>
      <c r="R18" s="5"/>
    </row>
    <row r="19" spans="1:18" ht="28" x14ac:dyDescent="0.2">
      <c r="A19" s="5" t="s">
        <v>470</v>
      </c>
      <c r="B19" s="5" t="s">
        <v>439</v>
      </c>
      <c r="C19" s="5" t="s">
        <v>527</v>
      </c>
      <c r="D19" s="5" t="s">
        <v>520</v>
      </c>
      <c r="E19" s="5" t="s">
        <v>515</v>
      </c>
      <c r="F19" s="5" t="s">
        <v>515</v>
      </c>
      <c r="G19" s="5" t="s">
        <v>515</v>
      </c>
      <c r="H19" s="5" t="s">
        <v>35</v>
      </c>
      <c r="I19" s="5" t="s">
        <v>35</v>
      </c>
      <c r="J19" s="5" t="s">
        <v>515</v>
      </c>
      <c r="K19" s="5" t="s">
        <v>515</v>
      </c>
      <c r="L19" s="5" t="s">
        <v>515</v>
      </c>
      <c r="M19" s="5" t="s">
        <v>515</v>
      </c>
      <c r="N19" s="5" t="s">
        <v>515</v>
      </c>
      <c r="O19" s="5" t="s">
        <v>515</v>
      </c>
      <c r="P19" s="5" t="s">
        <v>515</v>
      </c>
      <c r="Q19" s="5"/>
      <c r="R19" s="5"/>
    </row>
    <row r="20" spans="1:18" ht="56" x14ac:dyDescent="0.2">
      <c r="A20" s="5" t="s">
        <v>492</v>
      </c>
      <c r="B20" s="5" t="s">
        <v>493</v>
      </c>
      <c r="C20" s="5" t="s">
        <v>519</v>
      </c>
      <c r="D20" s="5" t="s">
        <v>515</v>
      </c>
      <c r="E20" s="5" t="s">
        <v>515</v>
      </c>
      <c r="F20" s="5" t="s">
        <v>515</v>
      </c>
      <c r="G20" s="5" t="s">
        <v>515</v>
      </c>
      <c r="H20" s="5" t="s">
        <v>94</v>
      </c>
      <c r="I20" s="5" t="s">
        <v>598</v>
      </c>
      <c r="J20" s="5" t="s">
        <v>520</v>
      </c>
      <c r="K20" s="5" t="s">
        <v>515</v>
      </c>
      <c r="L20" s="5" t="s">
        <v>515</v>
      </c>
      <c r="M20" s="5" t="s">
        <v>520</v>
      </c>
      <c r="N20" s="5" t="s">
        <v>520</v>
      </c>
      <c r="O20" s="5" t="s">
        <v>520</v>
      </c>
      <c r="P20" s="5" t="s">
        <v>520</v>
      </c>
      <c r="Q20" s="5" t="s">
        <v>521</v>
      </c>
      <c r="R20" s="5" t="s">
        <v>602</v>
      </c>
    </row>
    <row r="21" spans="1:18" ht="56" x14ac:dyDescent="0.2">
      <c r="A21" s="5" t="s">
        <v>494</v>
      </c>
      <c r="B21" s="5" t="s">
        <v>493</v>
      </c>
      <c r="C21" s="5" t="s">
        <v>519</v>
      </c>
      <c r="D21" s="5" t="s">
        <v>515</v>
      </c>
      <c r="E21" s="5" t="s">
        <v>515</v>
      </c>
      <c r="F21" s="5" t="s">
        <v>515</v>
      </c>
      <c r="G21" s="5" t="s">
        <v>515</v>
      </c>
      <c r="H21" s="5" t="s">
        <v>94</v>
      </c>
      <c r="I21" s="5" t="s">
        <v>598</v>
      </c>
      <c r="J21" s="5" t="s">
        <v>520</v>
      </c>
      <c r="K21" s="5" t="s">
        <v>515</v>
      </c>
      <c r="L21" s="5" t="s">
        <v>515</v>
      </c>
      <c r="M21" s="5" t="s">
        <v>520</v>
      </c>
      <c r="N21" s="5" t="s">
        <v>520</v>
      </c>
      <c r="O21" s="5" t="s">
        <v>520</v>
      </c>
      <c r="P21" s="5" t="s">
        <v>520</v>
      </c>
      <c r="Q21" s="5" t="s">
        <v>521</v>
      </c>
      <c r="R21" s="5" t="s">
        <v>602</v>
      </c>
    </row>
    <row r="22" spans="1:18" x14ac:dyDescent="0.2">
      <c r="A22" s="5"/>
      <c r="B22" s="5"/>
      <c r="C22" s="5"/>
      <c r="D22" s="5"/>
      <c r="E22" s="5"/>
      <c r="F22" s="5"/>
      <c r="G22" s="5"/>
      <c r="H22" s="5"/>
      <c r="I22" s="5"/>
      <c r="J22" s="5"/>
      <c r="K22" s="5"/>
      <c r="L22" s="5"/>
      <c r="M22" s="5"/>
      <c r="N22" s="5"/>
      <c r="O22" s="5"/>
      <c r="P22" s="5"/>
      <c r="Q22" s="5"/>
      <c r="R22" s="5"/>
    </row>
    <row r="23" spans="1:18" x14ac:dyDescent="0.2">
      <c r="A23" s="5"/>
      <c r="B23" s="5"/>
      <c r="C23" s="5"/>
      <c r="D23" s="5"/>
      <c r="E23" s="5"/>
      <c r="F23" s="5"/>
      <c r="G23" s="5"/>
      <c r="H23" s="5"/>
      <c r="I23" s="5"/>
      <c r="J23" s="5"/>
      <c r="K23" s="5"/>
      <c r="L23" s="5"/>
      <c r="M23" s="5"/>
      <c r="N23" s="5"/>
      <c r="O23" s="5"/>
      <c r="P23" s="5"/>
      <c r="Q23" s="5"/>
      <c r="R23" s="5"/>
    </row>
    <row r="24" spans="1:18" x14ac:dyDescent="0.2">
      <c r="A24" s="5"/>
      <c r="B24" s="5"/>
      <c r="C24" s="5"/>
      <c r="D24" s="5"/>
      <c r="E24" s="5"/>
      <c r="F24" s="5"/>
      <c r="G24" s="5"/>
      <c r="H24" s="5"/>
      <c r="I24" s="5"/>
      <c r="J24" s="5"/>
      <c r="K24" s="5"/>
      <c r="L24" s="5"/>
      <c r="M24" s="5"/>
      <c r="N24" s="5"/>
      <c r="O24" s="5"/>
      <c r="P24" s="5"/>
      <c r="Q24" s="5"/>
      <c r="R24" s="5"/>
    </row>
    <row r="25" spans="1:18" x14ac:dyDescent="0.2">
      <c r="A25" s="5"/>
      <c r="B25" s="5"/>
      <c r="C25" s="5"/>
      <c r="D25" s="5"/>
      <c r="E25" s="5"/>
      <c r="F25" s="5"/>
      <c r="G25" s="5"/>
      <c r="H25" s="5"/>
      <c r="I25" s="5"/>
      <c r="J25" s="5"/>
      <c r="K25" s="5"/>
      <c r="L25" s="5"/>
      <c r="M25" s="5"/>
      <c r="N25" s="5"/>
      <c r="O25" s="5"/>
      <c r="P25" s="5"/>
      <c r="Q25" s="5"/>
      <c r="R25" s="5"/>
    </row>
    <row r="26" spans="1:18" x14ac:dyDescent="0.2">
      <c r="A26" s="5"/>
      <c r="B26" s="5"/>
      <c r="C26" s="5"/>
      <c r="D26" s="5"/>
      <c r="E26" s="5"/>
      <c r="F26" s="5"/>
      <c r="G26" s="5"/>
      <c r="H26" s="5"/>
      <c r="I26" s="5"/>
      <c r="J26" s="5"/>
      <c r="K26" s="5"/>
      <c r="L26" s="5"/>
      <c r="M26" s="5"/>
      <c r="N26" s="5"/>
      <c r="O26" s="5"/>
      <c r="P26" s="5"/>
      <c r="Q26" s="5"/>
      <c r="R26" s="5"/>
    </row>
    <row r="27" spans="1:18" x14ac:dyDescent="0.2">
      <c r="A27" s="5"/>
      <c r="B27" s="5"/>
      <c r="C27" s="5"/>
      <c r="D27" s="5"/>
      <c r="E27" s="5"/>
      <c r="F27" s="5"/>
      <c r="G27" s="5"/>
      <c r="H27" s="5"/>
      <c r="I27" s="5"/>
      <c r="J27" s="5"/>
      <c r="K27" s="5"/>
      <c r="L27" s="5"/>
      <c r="M27" s="5"/>
      <c r="N27" s="5"/>
      <c r="O27" s="5"/>
      <c r="P27" s="5"/>
      <c r="Q27" s="5"/>
      <c r="R27" s="5"/>
    </row>
    <row r="28" spans="1:18" x14ac:dyDescent="0.2">
      <c r="A28" s="5"/>
      <c r="B28" s="5"/>
      <c r="C28" s="5"/>
      <c r="D28" s="5"/>
      <c r="E28" s="5"/>
      <c r="F28" s="5"/>
      <c r="G28" s="5"/>
      <c r="H28" s="5"/>
      <c r="I28" s="5"/>
      <c r="J28" s="5"/>
      <c r="K28" s="5"/>
      <c r="L28" s="5"/>
      <c r="M28" s="5"/>
      <c r="N28" s="5"/>
      <c r="O28" s="5"/>
      <c r="P28" s="5"/>
      <c r="Q28" s="5"/>
      <c r="R28" s="5"/>
    </row>
    <row r="29" spans="1:18" x14ac:dyDescent="0.2">
      <c r="A29" s="5"/>
      <c r="B29" s="5"/>
      <c r="C29" s="5"/>
      <c r="D29" s="5"/>
      <c r="E29" s="5"/>
      <c r="F29" s="5"/>
      <c r="G29" s="5"/>
      <c r="H29" s="5"/>
      <c r="I29" s="5"/>
      <c r="J29" s="5"/>
      <c r="K29" s="5"/>
      <c r="L29" s="5"/>
      <c r="M29" s="5"/>
      <c r="N29" s="5"/>
      <c r="O29" s="5"/>
      <c r="P29" s="5"/>
      <c r="Q29" s="5"/>
      <c r="R29" s="5"/>
    </row>
  </sheetData>
  <dataValidations count="3">
    <dataValidation type="list" allowBlank="1" sqref="E2:E50 F2:F50 G2:G50 K2:K50 P2:P50 N2:N50 O2:O50 L2:L50" xr:uid="{00000000-0002-0000-0300-000000000000}">
      <formula1>"Yes,No,Partial"</formula1>
    </dataValidation>
    <dataValidation type="list" allowBlank="1" showInputMessage="1" showErrorMessage="1" sqref="J1:J1048576 D1:D1048576" xr:uid="{8F895C57-490B-964C-8FB2-C5F50850A0BE}">
      <formula1>"Yes, No"</formula1>
    </dataValidation>
    <dataValidation type="list" allowBlank="1" sqref="M1:M1048576" xr:uid="{B67BB89C-A93B-4846-BF28-6E2B77704710}">
      <formula1>"Yes,No,"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9"/>
  <sheetViews>
    <sheetView workbookViewId="0">
      <selection activeCell="E34" sqref="E34"/>
    </sheetView>
  </sheetViews>
  <sheetFormatPr baseColWidth="10" defaultColWidth="8.83203125" defaultRowHeight="15" x14ac:dyDescent="0.2"/>
  <cols>
    <col min="1" max="1" width="35" customWidth="1"/>
    <col min="2" max="2" width="18" customWidth="1"/>
    <col min="3" max="3" width="30" customWidth="1"/>
  </cols>
  <sheetData>
    <row r="1" spans="1:3" x14ac:dyDescent="0.2">
      <c r="A1" s="3" t="s">
        <v>528</v>
      </c>
      <c r="B1" s="3" t="s">
        <v>529</v>
      </c>
      <c r="C1" s="3" t="s">
        <v>32</v>
      </c>
    </row>
    <row r="2" spans="1:3" x14ac:dyDescent="0.2">
      <c r="A2" s="7" t="s">
        <v>530</v>
      </c>
      <c r="B2" s="8"/>
      <c r="C2" s="8"/>
    </row>
    <row r="3" spans="1:3" x14ac:dyDescent="0.2">
      <c r="A3" s="9" t="s">
        <v>531</v>
      </c>
      <c r="B3" s="9">
        <f>COUNTA('Narrative Summary'!A:A)-1</f>
        <v>20</v>
      </c>
      <c r="C3" s="10"/>
    </row>
    <row r="4" spans="1:3" x14ac:dyDescent="0.2">
      <c r="A4" s="9" t="s">
        <v>532</v>
      </c>
      <c r="B4" s="9">
        <f>COUNTA('Claim Audit'!A:A)-1</f>
        <v>337</v>
      </c>
      <c r="C4" s="10"/>
    </row>
    <row r="5" spans="1:3" x14ac:dyDescent="0.2">
      <c r="A5" s="9" t="s">
        <v>533</v>
      </c>
      <c r="B5" s="16">
        <f>COUNTIFS('Claim Audit'!$F:$F,"Numerical",'Claim Audit'!$H:$H,"Accurate")/COUNTIF('Claim Audit'!$F:$F,"Numerical")</f>
        <v>1</v>
      </c>
      <c r="C5" s="10"/>
    </row>
    <row r="6" spans="1:3" x14ac:dyDescent="0.2">
      <c r="A6" s="9" t="s">
        <v>534</v>
      </c>
      <c r="B6" s="16">
        <f>COUNTIFS('Claim Audit'!$F:$F,"Directional",'Claim Audit'!$H:$H,"Accurate")/COUNTIF('Claim Audit'!$F:$F,"Directional")</f>
        <v>1</v>
      </c>
      <c r="C6" s="10"/>
    </row>
    <row r="7" spans="1:3" x14ac:dyDescent="0.2">
      <c r="A7" s="9" t="s">
        <v>609</v>
      </c>
      <c r="B7" s="17">
        <f>COUNTIFS('Claim Audit'!$F:$F,"Interpretation",'Claim Audit'!$H:$H,"Accurate")/COUNTIF('Claim Audit'!$F:$F,"Interpretation")</f>
        <v>0.93023255813953487</v>
      </c>
      <c r="C7" s="10"/>
    </row>
    <row r="8" spans="1:3" x14ac:dyDescent="0.2">
      <c r="A8" s="9" t="s">
        <v>535</v>
      </c>
      <c r="B8" s="16">
        <f>COUNTIFS('Claim Audit'!$F:$F,"Entity",'Claim Audit'!$H:$H,"Accurate")/COUNTIF('Claim Audit'!$F:$F,"Entity")</f>
        <v>1</v>
      </c>
      <c r="C8" s="10"/>
    </row>
    <row r="9" spans="1:3" x14ac:dyDescent="0.2">
      <c r="A9" s="9" t="s">
        <v>536</v>
      </c>
      <c r="B9" s="9">
        <f>COUNTIF('Narrative Summary'!J:J,0)-4</f>
        <v>11</v>
      </c>
      <c r="C9" s="10" t="s">
        <v>610</v>
      </c>
    </row>
    <row r="10" spans="1:3" x14ac:dyDescent="0.2">
      <c r="A10" s="9" t="s">
        <v>537</v>
      </c>
      <c r="B10" s="17">
        <f>COUNTIF('Claim Audit'!H:H,"Accurate")/B4</f>
        <v>0.98219584569732943</v>
      </c>
      <c r="C10" s="10"/>
    </row>
    <row r="11" spans="1:3" x14ac:dyDescent="0.2">
      <c r="A11" s="9" t="s">
        <v>538</v>
      </c>
      <c r="B11" s="16">
        <f>COUNTIFS('Claim Audit'!F:F,"Hedging",'Claim Audit'!H:H,"Accurate")/COUNTIF('Claim Audit'!F:F,"Hedging")</f>
        <v>1</v>
      </c>
      <c r="C11" s="10"/>
    </row>
    <row r="12" spans="1:3" x14ac:dyDescent="0.2">
      <c r="A12" s="9"/>
      <c r="B12" s="9"/>
      <c r="C12" s="10"/>
    </row>
    <row r="13" spans="1:3" x14ac:dyDescent="0.2">
      <c r="A13" s="7" t="s">
        <v>539</v>
      </c>
      <c r="B13" s="8"/>
      <c r="C13" s="8"/>
    </row>
    <row r="14" spans="1:3" x14ac:dyDescent="0.2">
      <c r="A14" s="9" t="s">
        <v>540</v>
      </c>
      <c r="B14" s="9">
        <f>COUNTIFS('Narrative Summary'!E:E,"Yes",'Narrative Summary'!F:F,0)</f>
        <v>16</v>
      </c>
      <c r="C14" s="10"/>
    </row>
    <row r="15" spans="1:3" x14ac:dyDescent="0.2">
      <c r="A15" s="9" t="s">
        <v>541</v>
      </c>
      <c r="B15" s="9">
        <f>COUNTIFS('Narrative Summary'!E:E,"Yes",'Narrative Summary'!F:F,"&gt;0")</f>
        <v>0</v>
      </c>
      <c r="C15" s="10" t="s">
        <v>605</v>
      </c>
    </row>
    <row r="16" spans="1:3" x14ac:dyDescent="0.2">
      <c r="A16" s="9" t="s">
        <v>542</v>
      </c>
      <c r="B16" s="9">
        <f>AVERAGEIF('Narrative Summary'!E:E,"Yes",'Narrative Summary'!F:F)</f>
        <v>0</v>
      </c>
      <c r="C16" s="10"/>
    </row>
    <row r="17" spans="1:3" x14ac:dyDescent="0.2">
      <c r="A17" s="9"/>
      <c r="B17" s="9"/>
      <c r="C17" s="10"/>
    </row>
    <row r="18" spans="1:3" x14ac:dyDescent="0.2">
      <c r="A18" s="7" t="s">
        <v>543</v>
      </c>
      <c r="B18" s="8"/>
      <c r="C18" s="8"/>
    </row>
    <row r="19" spans="1:3" x14ac:dyDescent="0.2">
      <c r="A19" s="9" t="s">
        <v>544</v>
      </c>
      <c r="B19" s="9" cm="1">
        <f t="array" ref="B19">COUNTA(_xlfn.UNIQUE(_xlfn._xlws.FILTER('Pipeline Success'!B2:B1000,'Pipeline Success'!B2:B1000&lt;&gt;"")))</f>
        <v>10</v>
      </c>
      <c r="C19" s="10"/>
    </row>
    <row r="20" spans="1:3" x14ac:dyDescent="0.2">
      <c r="A20" s="9" t="s">
        <v>545</v>
      </c>
      <c r="B20" s="9">
        <f>COUNTIF('Pipeline Success'!E:E,"Yes")</f>
        <v>20</v>
      </c>
      <c r="C20" s="10"/>
    </row>
    <row r="21" spans="1:3" x14ac:dyDescent="0.2">
      <c r="A21" s="9" t="s">
        <v>546</v>
      </c>
      <c r="B21" s="9">
        <f>COUNTIF('Pipeline Success'!F:F,"Yes")</f>
        <v>20</v>
      </c>
      <c r="C21" s="10"/>
    </row>
    <row r="22" spans="1:3" x14ac:dyDescent="0.2">
      <c r="A22" s="9" t="s">
        <v>547</v>
      </c>
      <c r="B22" s="9">
        <f>COUNTIF('Pipeline Success'!K:K,"Yes")</f>
        <v>20</v>
      </c>
      <c r="C22" s="10"/>
    </row>
    <row r="23" spans="1:3" x14ac:dyDescent="0.2">
      <c r="A23" s="9" t="s">
        <v>548</v>
      </c>
      <c r="B23" s="9">
        <f>COUNTIF('Pipeline Success'!L:L,"Yes")</f>
        <v>20</v>
      </c>
      <c r="C23" s="10"/>
    </row>
    <row r="24" spans="1:3" x14ac:dyDescent="0.2">
      <c r="A24" s="9" t="s">
        <v>549</v>
      </c>
      <c r="B24" s="9">
        <f>COUNTIF('Pipeline Success'!P:P,"Yes")/B19</f>
        <v>1.6</v>
      </c>
      <c r="C24" s="10"/>
    </row>
    <row r="25" spans="1:3" x14ac:dyDescent="0.2">
      <c r="A25" s="9"/>
      <c r="B25" s="9"/>
      <c r="C25" s="10"/>
    </row>
    <row r="26" spans="1:3" x14ac:dyDescent="0.2">
      <c r="A26" s="7" t="s">
        <v>550</v>
      </c>
      <c r="B26" s="8"/>
      <c r="C26" s="8"/>
    </row>
    <row r="27" spans="1:3" x14ac:dyDescent="0.2">
      <c r="A27" s="9" t="s">
        <v>551</v>
      </c>
      <c r="B27" s="9">
        <v>10</v>
      </c>
      <c r="C27" s="10" t="s">
        <v>608</v>
      </c>
    </row>
    <row r="28" spans="1:3" x14ac:dyDescent="0.2">
      <c r="A28" s="9" t="s">
        <v>606</v>
      </c>
      <c r="B28" s="17">
        <f>12/16</f>
        <v>0.75</v>
      </c>
      <c r="C28" s="10"/>
    </row>
    <row r="29" spans="1:3" x14ac:dyDescent="0.2">
      <c r="A29" s="9" t="s">
        <v>607</v>
      </c>
      <c r="B29" s="16">
        <f xml:space="preserve"> 16/16</f>
        <v>1</v>
      </c>
      <c r="C29"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Claim Audit</vt:lpstr>
      <vt:lpstr>Narrative Summary</vt:lpstr>
      <vt:lpstr>Pipeline Success</vt:lpstr>
      <vt:lpstr>Summary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Rakel Osk Sigurdardottir</cp:lastModifiedBy>
  <dcterms:created xsi:type="dcterms:W3CDTF">2026-04-03T21:08:23Z</dcterms:created>
  <dcterms:modified xsi:type="dcterms:W3CDTF">2026-04-07T17:11:00Z</dcterms:modified>
</cp:coreProperties>
</file>